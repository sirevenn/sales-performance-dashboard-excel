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Sirr4\Downloads\New folder\"/>
    </mc:Choice>
  </mc:AlternateContent>
  <xr:revisionPtr revIDLastSave="0" documentId="13_ncr:1_{69972749-8C7B-4182-AB66-618098BC4EA2}" xr6:coauthVersionLast="47" xr6:coauthVersionMax="47" xr10:uidLastSave="{00000000-0000-0000-0000-000000000000}"/>
  <bookViews>
    <workbookView xWindow="-110" yWindow="-110" windowWidth="19420" windowHeight="10300" activeTab="4" xr2:uid="{00000000-000D-0000-FFFF-FFFF00000000}"/>
  </bookViews>
  <sheets>
    <sheet name="products" sheetId="2" r:id="rId1"/>
    <sheet name="shoe_sales_clean_data" sheetId="3" r:id="rId2"/>
    <sheet name="Sheet3" sheetId="11" state="hidden" r:id="rId3"/>
    <sheet name="Analysis" sheetId="6" r:id="rId4"/>
    <sheet name="Dashboard" sheetId="10" r:id="rId5"/>
  </sheets>
  <definedNames>
    <definedName name="ExternalData_1" localSheetId="1" hidden="1">shoe_sales_clean_data!$B$1:$I$501</definedName>
    <definedName name="Slicer_Category">#N/A</definedName>
    <definedName name="Slicer_Months__Date">#N/A</definedName>
  </definedNames>
  <calcPr calcId="191029"/>
  <pivotCaches>
    <pivotCache cacheId="1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12" i="6" l="1"/>
  <c r="AT11" i="6"/>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M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N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O2"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AU11" i="6"/>
  <c r="AH17" i="6"/>
  <c r="AH16" i="6"/>
  <c r="U15" i="6"/>
  <c r="AU12" i="6"/>
  <c r="BO25" i="6"/>
  <c r="AH15" i="6"/>
  <c r="U16" i="6"/>
  <c r="AU13" i="6" l="1"/>
  <c r="AG17" i="6"/>
  <c r="AG16" i="6"/>
  <c r="AG15" i="6"/>
  <c r="T16" i="6"/>
  <c r="T17" i="6"/>
  <c r="T15" i="6"/>
  <c r="U17" i="6"/>
  <c r="U18" i="6" l="1"/>
  <c r="AH18"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0A77F3-EC3B-4B82-9067-3F3E83F5269F}" keepAlive="1" name="Query - Shoe_Sales" description="Connection to the 'Shoe_Sales' query in the workbook." type="5" refreshedVersion="8" background="1" saveData="1">
    <dbPr connection="Provider=Microsoft.Mashup.OleDb.1;Data Source=$Workbook$;Location=Shoe_Sales;Extended Properties=&quot;&quot;" command="SELECT * FROM [Shoe_Sales]"/>
  </connection>
</connections>
</file>

<file path=xl/sharedStrings.xml><?xml version="1.0" encoding="utf-8"?>
<sst xmlns="http://schemas.openxmlformats.org/spreadsheetml/2006/main" count="3631" uniqueCount="586">
  <si>
    <t>Date</t>
  </si>
  <si>
    <t>Product</t>
  </si>
  <si>
    <t>Category</t>
  </si>
  <si>
    <t>Color</t>
  </si>
  <si>
    <t>Brand</t>
  </si>
  <si>
    <t>Country</t>
  </si>
  <si>
    <t>Quantity</t>
  </si>
  <si>
    <t>Black</t>
  </si>
  <si>
    <t>Clarks</t>
  </si>
  <si>
    <t>Nigeria</t>
  </si>
  <si>
    <t>Casual</t>
  </si>
  <si>
    <t>Brown</t>
  </si>
  <si>
    <t>Uganda</t>
  </si>
  <si>
    <t>Slippers</t>
  </si>
  <si>
    <t>Red</t>
  </si>
  <si>
    <t>Ghana</t>
  </si>
  <si>
    <t>Blue</t>
  </si>
  <si>
    <t>Zara</t>
  </si>
  <si>
    <t>UK</t>
  </si>
  <si>
    <t>Utility</t>
  </si>
  <si>
    <t>Green</t>
  </si>
  <si>
    <t>USA</t>
  </si>
  <si>
    <t>Oxford</t>
  </si>
  <si>
    <t>Kenya</t>
  </si>
  <si>
    <t>India</t>
  </si>
  <si>
    <t>Formal</t>
  </si>
  <si>
    <t>Germany</t>
  </si>
  <si>
    <t>Derby</t>
  </si>
  <si>
    <t>Albania</t>
  </si>
  <si>
    <t>Steve Madden</t>
  </si>
  <si>
    <t>Cyprus</t>
  </si>
  <si>
    <t>Open</t>
  </si>
  <si>
    <t>Australia</t>
  </si>
  <si>
    <t>Loafers</t>
  </si>
  <si>
    <t>Canada</t>
  </si>
  <si>
    <t>Timberland</t>
  </si>
  <si>
    <t>Philippines</t>
  </si>
  <si>
    <t>Zimbabwe</t>
  </si>
  <si>
    <t>Brogues</t>
  </si>
  <si>
    <t>Canvas</t>
  </si>
  <si>
    <t>Nike</t>
  </si>
  <si>
    <t>Boots</t>
  </si>
  <si>
    <t>Monk Straps</t>
  </si>
  <si>
    <t>Price</t>
  </si>
  <si>
    <t>Cost</t>
  </si>
  <si>
    <t>Bank Transfer</t>
  </si>
  <si>
    <t>Card</t>
  </si>
  <si>
    <t>Cash</t>
  </si>
  <si>
    <t>Mobile Money</t>
  </si>
  <si>
    <t>Payment Type</t>
  </si>
  <si>
    <t>ID</t>
  </si>
  <si>
    <t>T001</t>
  </si>
  <si>
    <t>T002</t>
  </si>
  <si>
    <t>T003</t>
  </si>
  <si>
    <t>T004</t>
  </si>
  <si>
    <t>T005</t>
  </si>
  <si>
    <t>T006</t>
  </si>
  <si>
    <t>T007</t>
  </si>
  <si>
    <t>T008</t>
  </si>
  <si>
    <t>T009</t>
  </si>
  <si>
    <t>T010</t>
  </si>
  <si>
    <t>T011</t>
  </si>
  <si>
    <t>T012</t>
  </si>
  <si>
    <t>T013</t>
  </si>
  <si>
    <t>T014</t>
  </si>
  <si>
    <t>T015</t>
  </si>
  <si>
    <t>T016</t>
  </si>
  <si>
    <t>T017</t>
  </si>
  <si>
    <t>T018</t>
  </si>
  <si>
    <t>T019</t>
  </si>
  <si>
    <t>T020</t>
  </si>
  <si>
    <t>T021</t>
  </si>
  <si>
    <t>T022</t>
  </si>
  <si>
    <t>T023</t>
  </si>
  <si>
    <t>T024</t>
  </si>
  <si>
    <t>T025</t>
  </si>
  <si>
    <t>T026</t>
  </si>
  <si>
    <t>T027</t>
  </si>
  <si>
    <t>T028</t>
  </si>
  <si>
    <t>T029</t>
  </si>
  <si>
    <t>T030</t>
  </si>
  <si>
    <t>T031</t>
  </si>
  <si>
    <t>T032</t>
  </si>
  <si>
    <t>T033</t>
  </si>
  <si>
    <t>T034</t>
  </si>
  <si>
    <t>T035</t>
  </si>
  <si>
    <t>T036</t>
  </si>
  <si>
    <t>T037</t>
  </si>
  <si>
    <t>T038</t>
  </si>
  <si>
    <t>T039</t>
  </si>
  <si>
    <t>T040</t>
  </si>
  <si>
    <t>T041</t>
  </si>
  <si>
    <t>T042</t>
  </si>
  <si>
    <t>T043</t>
  </si>
  <si>
    <t>T044</t>
  </si>
  <si>
    <t>T045</t>
  </si>
  <si>
    <t>T046</t>
  </si>
  <si>
    <t>T047</t>
  </si>
  <si>
    <t>T048</t>
  </si>
  <si>
    <t>T049</t>
  </si>
  <si>
    <t>T050</t>
  </si>
  <si>
    <t>T051</t>
  </si>
  <si>
    <t>T052</t>
  </si>
  <si>
    <t>T053</t>
  </si>
  <si>
    <t>T054</t>
  </si>
  <si>
    <t>T055</t>
  </si>
  <si>
    <t>T056</t>
  </si>
  <si>
    <t>T057</t>
  </si>
  <si>
    <t>T058</t>
  </si>
  <si>
    <t>T059</t>
  </si>
  <si>
    <t>T060</t>
  </si>
  <si>
    <t>T061</t>
  </si>
  <si>
    <t>T062</t>
  </si>
  <si>
    <t>T063</t>
  </si>
  <si>
    <t>T064</t>
  </si>
  <si>
    <t>T065</t>
  </si>
  <si>
    <t>T066</t>
  </si>
  <si>
    <t>T067</t>
  </si>
  <si>
    <t>T068</t>
  </si>
  <si>
    <t>T069</t>
  </si>
  <si>
    <t>T070</t>
  </si>
  <si>
    <t>T071</t>
  </si>
  <si>
    <t>T072</t>
  </si>
  <si>
    <t>T073</t>
  </si>
  <si>
    <t>T074</t>
  </si>
  <si>
    <t>T075</t>
  </si>
  <si>
    <t>T076</t>
  </si>
  <si>
    <t>T077</t>
  </si>
  <si>
    <t>T078</t>
  </si>
  <si>
    <t>T079</t>
  </si>
  <si>
    <t>T080</t>
  </si>
  <si>
    <t>T081</t>
  </si>
  <si>
    <t>T082</t>
  </si>
  <si>
    <t>T083</t>
  </si>
  <si>
    <t>T084</t>
  </si>
  <si>
    <t>T085</t>
  </si>
  <si>
    <t>T086</t>
  </si>
  <si>
    <t>T087</t>
  </si>
  <si>
    <t>T088</t>
  </si>
  <si>
    <t>T089</t>
  </si>
  <si>
    <t>T090</t>
  </si>
  <si>
    <t>T091</t>
  </si>
  <si>
    <t>T092</t>
  </si>
  <si>
    <t>T093</t>
  </si>
  <si>
    <t>T094</t>
  </si>
  <si>
    <t>T095</t>
  </si>
  <si>
    <t>T096</t>
  </si>
  <si>
    <t>T097</t>
  </si>
  <si>
    <t>T098</t>
  </si>
  <si>
    <t>T099</t>
  </si>
  <si>
    <t>T100</t>
  </si>
  <si>
    <t>T101</t>
  </si>
  <si>
    <t>T102</t>
  </si>
  <si>
    <t>T103</t>
  </si>
  <si>
    <t>T104</t>
  </si>
  <si>
    <t>T105</t>
  </si>
  <si>
    <t>T106</t>
  </si>
  <si>
    <t>T107</t>
  </si>
  <si>
    <t>T108</t>
  </si>
  <si>
    <t>T109</t>
  </si>
  <si>
    <t>T110</t>
  </si>
  <si>
    <t>T111</t>
  </si>
  <si>
    <t>T112</t>
  </si>
  <si>
    <t>T113</t>
  </si>
  <si>
    <t>T114</t>
  </si>
  <si>
    <t>T115</t>
  </si>
  <si>
    <t>T116</t>
  </si>
  <si>
    <t>T117</t>
  </si>
  <si>
    <t>T118</t>
  </si>
  <si>
    <t>T119</t>
  </si>
  <si>
    <t>T120</t>
  </si>
  <si>
    <t>T121</t>
  </si>
  <si>
    <t>T122</t>
  </si>
  <si>
    <t>T123</t>
  </si>
  <si>
    <t>T124</t>
  </si>
  <si>
    <t>T125</t>
  </si>
  <si>
    <t>T126</t>
  </si>
  <si>
    <t>T127</t>
  </si>
  <si>
    <t>T128</t>
  </si>
  <si>
    <t>T129</t>
  </si>
  <si>
    <t>T130</t>
  </si>
  <si>
    <t>T131</t>
  </si>
  <si>
    <t>T132</t>
  </si>
  <si>
    <t>T133</t>
  </si>
  <si>
    <t>T134</t>
  </si>
  <si>
    <t>T135</t>
  </si>
  <si>
    <t>T136</t>
  </si>
  <si>
    <t>T137</t>
  </si>
  <si>
    <t>T138</t>
  </si>
  <si>
    <t>T139</t>
  </si>
  <si>
    <t>T140</t>
  </si>
  <si>
    <t>T141</t>
  </si>
  <si>
    <t>T142</t>
  </si>
  <si>
    <t>T143</t>
  </si>
  <si>
    <t>T144</t>
  </si>
  <si>
    <t>T145</t>
  </si>
  <si>
    <t>T146</t>
  </si>
  <si>
    <t>T147</t>
  </si>
  <si>
    <t>T148</t>
  </si>
  <si>
    <t>T149</t>
  </si>
  <si>
    <t>T150</t>
  </si>
  <si>
    <t>T151</t>
  </si>
  <si>
    <t>T152</t>
  </si>
  <si>
    <t>T153</t>
  </si>
  <si>
    <t>T154</t>
  </si>
  <si>
    <t>T155</t>
  </si>
  <si>
    <t>T156</t>
  </si>
  <si>
    <t>T157</t>
  </si>
  <si>
    <t>T158</t>
  </si>
  <si>
    <t>T159</t>
  </si>
  <si>
    <t>T160</t>
  </si>
  <si>
    <t>T161</t>
  </si>
  <si>
    <t>T162</t>
  </si>
  <si>
    <t>T163</t>
  </si>
  <si>
    <t>T164</t>
  </si>
  <si>
    <t>T165</t>
  </si>
  <si>
    <t>T166</t>
  </si>
  <si>
    <t>T167</t>
  </si>
  <si>
    <t>T168</t>
  </si>
  <si>
    <t>T169</t>
  </si>
  <si>
    <t>T170</t>
  </si>
  <si>
    <t>T171</t>
  </si>
  <si>
    <t>T172</t>
  </si>
  <si>
    <t>T173</t>
  </si>
  <si>
    <t>T174</t>
  </si>
  <si>
    <t>T175</t>
  </si>
  <si>
    <t>T176</t>
  </si>
  <si>
    <t>T177</t>
  </si>
  <si>
    <t>T178</t>
  </si>
  <si>
    <t>T179</t>
  </si>
  <si>
    <t>T180</t>
  </si>
  <si>
    <t>T181</t>
  </si>
  <si>
    <t>T182</t>
  </si>
  <si>
    <t>T183</t>
  </si>
  <si>
    <t>T184</t>
  </si>
  <si>
    <t>T185</t>
  </si>
  <si>
    <t>T186</t>
  </si>
  <si>
    <t>T187</t>
  </si>
  <si>
    <t>T188</t>
  </si>
  <si>
    <t>T189</t>
  </si>
  <si>
    <t>T190</t>
  </si>
  <si>
    <t>T191</t>
  </si>
  <si>
    <t>T192</t>
  </si>
  <si>
    <t>T193</t>
  </si>
  <si>
    <t>T194</t>
  </si>
  <si>
    <t>T195</t>
  </si>
  <si>
    <t>T196</t>
  </si>
  <si>
    <t>T197</t>
  </si>
  <si>
    <t>T198</t>
  </si>
  <si>
    <t>T199</t>
  </si>
  <si>
    <t>T200</t>
  </si>
  <si>
    <t>T201</t>
  </si>
  <si>
    <t>T202</t>
  </si>
  <si>
    <t>T203</t>
  </si>
  <si>
    <t>T204</t>
  </si>
  <si>
    <t>T205</t>
  </si>
  <si>
    <t>T206</t>
  </si>
  <si>
    <t>T207</t>
  </si>
  <si>
    <t>T208</t>
  </si>
  <si>
    <t>T209</t>
  </si>
  <si>
    <t>T210</t>
  </si>
  <si>
    <t>T211</t>
  </si>
  <si>
    <t>T212</t>
  </si>
  <si>
    <t>T213</t>
  </si>
  <si>
    <t>T214</t>
  </si>
  <si>
    <t>T215</t>
  </si>
  <si>
    <t>T216</t>
  </si>
  <si>
    <t>T217</t>
  </si>
  <si>
    <t>T218</t>
  </si>
  <si>
    <t>T219</t>
  </si>
  <si>
    <t>T220</t>
  </si>
  <si>
    <t>T221</t>
  </si>
  <si>
    <t>T222</t>
  </si>
  <si>
    <t>T223</t>
  </si>
  <si>
    <t>T224</t>
  </si>
  <si>
    <t>T225</t>
  </si>
  <si>
    <t>T226</t>
  </si>
  <si>
    <t>T227</t>
  </si>
  <si>
    <t>T228</t>
  </si>
  <si>
    <t>T229</t>
  </si>
  <si>
    <t>T230</t>
  </si>
  <si>
    <t>T231</t>
  </si>
  <si>
    <t>T232</t>
  </si>
  <si>
    <t>T233</t>
  </si>
  <si>
    <t>T234</t>
  </si>
  <si>
    <t>T235</t>
  </si>
  <si>
    <t>T236</t>
  </si>
  <si>
    <t>T237</t>
  </si>
  <si>
    <t>T238</t>
  </si>
  <si>
    <t>T239</t>
  </si>
  <si>
    <t>T240</t>
  </si>
  <si>
    <t>T241</t>
  </si>
  <si>
    <t>T242</t>
  </si>
  <si>
    <t>T243</t>
  </si>
  <si>
    <t>T244</t>
  </si>
  <si>
    <t>T245</t>
  </si>
  <si>
    <t>T246</t>
  </si>
  <si>
    <t>T247</t>
  </si>
  <si>
    <t>T248</t>
  </si>
  <si>
    <t>T249</t>
  </si>
  <si>
    <t>T250</t>
  </si>
  <si>
    <t>T251</t>
  </si>
  <si>
    <t>T252</t>
  </si>
  <si>
    <t>T253</t>
  </si>
  <si>
    <t>T254</t>
  </si>
  <si>
    <t>T255</t>
  </si>
  <si>
    <t>T256</t>
  </si>
  <si>
    <t>T257</t>
  </si>
  <si>
    <t>T258</t>
  </si>
  <si>
    <t>T259</t>
  </si>
  <si>
    <t>T260</t>
  </si>
  <si>
    <t>T261</t>
  </si>
  <si>
    <t>T262</t>
  </si>
  <si>
    <t>T263</t>
  </si>
  <si>
    <t>T264</t>
  </si>
  <si>
    <t>T265</t>
  </si>
  <si>
    <t>T266</t>
  </si>
  <si>
    <t>T267</t>
  </si>
  <si>
    <t>T268</t>
  </si>
  <si>
    <t>T269</t>
  </si>
  <si>
    <t>T270</t>
  </si>
  <si>
    <t>T271</t>
  </si>
  <si>
    <t>T272</t>
  </si>
  <si>
    <t>T273</t>
  </si>
  <si>
    <t>T274</t>
  </si>
  <si>
    <t>T275</t>
  </si>
  <si>
    <t>T276</t>
  </si>
  <si>
    <t>T277</t>
  </si>
  <si>
    <t>T278</t>
  </si>
  <si>
    <t>T279</t>
  </si>
  <si>
    <t>T280</t>
  </si>
  <si>
    <t>T281</t>
  </si>
  <si>
    <t>T282</t>
  </si>
  <si>
    <t>T283</t>
  </si>
  <si>
    <t>T284</t>
  </si>
  <si>
    <t>T285</t>
  </si>
  <si>
    <t>T286</t>
  </si>
  <si>
    <t>T287</t>
  </si>
  <si>
    <t>T288</t>
  </si>
  <si>
    <t>T289</t>
  </si>
  <si>
    <t>T290</t>
  </si>
  <si>
    <t>T291</t>
  </si>
  <si>
    <t>T292</t>
  </si>
  <si>
    <t>T293</t>
  </si>
  <si>
    <t>T294</t>
  </si>
  <si>
    <t>T295</t>
  </si>
  <si>
    <t>T296</t>
  </si>
  <si>
    <t>T297</t>
  </si>
  <si>
    <t>T298</t>
  </si>
  <si>
    <t>T299</t>
  </si>
  <si>
    <t>T300</t>
  </si>
  <si>
    <t>T301</t>
  </si>
  <si>
    <t>T302</t>
  </si>
  <si>
    <t>T303</t>
  </si>
  <si>
    <t>T304</t>
  </si>
  <si>
    <t>T305</t>
  </si>
  <si>
    <t>T306</t>
  </si>
  <si>
    <t>T307</t>
  </si>
  <si>
    <t>T308</t>
  </si>
  <si>
    <t>T309</t>
  </si>
  <si>
    <t>T310</t>
  </si>
  <si>
    <t>T311</t>
  </si>
  <si>
    <t>T312</t>
  </si>
  <si>
    <t>T313</t>
  </si>
  <si>
    <t>T314</t>
  </si>
  <si>
    <t>T315</t>
  </si>
  <si>
    <t>T316</t>
  </si>
  <si>
    <t>T317</t>
  </si>
  <si>
    <t>T318</t>
  </si>
  <si>
    <t>T319</t>
  </si>
  <si>
    <t>T320</t>
  </si>
  <si>
    <t>T321</t>
  </si>
  <si>
    <t>T322</t>
  </si>
  <si>
    <t>T323</t>
  </si>
  <si>
    <t>T324</t>
  </si>
  <si>
    <t>T325</t>
  </si>
  <si>
    <t>T326</t>
  </si>
  <si>
    <t>T327</t>
  </si>
  <si>
    <t>T328</t>
  </si>
  <si>
    <t>T329</t>
  </si>
  <si>
    <t>T330</t>
  </si>
  <si>
    <t>T331</t>
  </si>
  <si>
    <t>T332</t>
  </si>
  <si>
    <t>T333</t>
  </si>
  <si>
    <t>T334</t>
  </si>
  <si>
    <t>T335</t>
  </si>
  <si>
    <t>T336</t>
  </si>
  <si>
    <t>T337</t>
  </si>
  <si>
    <t>T338</t>
  </si>
  <si>
    <t>T339</t>
  </si>
  <si>
    <t>T340</t>
  </si>
  <si>
    <t>T341</t>
  </si>
  <si>
    <t>T342</t>
  </si>
  <si>
    <t>T343</t>
  </si>
  <si>
    <t>T344</t>
  </si>
  <si>
    <t>T345</t>
  </si>
  <si>
    <t>T346</t>
  </si>
  <si>
    <t>T347</t>
  </si>
  <si>
    <t>T348</t>
  </si>
  <si>
    <t>T349</t>
  </si>
  <si>
    <t>T350</t>
  </si>
  <si>
    <t>T351</t>
  </si>
  <si>
    <t>T352</t>
  </si>
  <si>
    <t>T353</t>
  </si>
  <si>
    <t>T354</t>
  </si>
  <si>
    <t>T355</t>
  </si>
  <si>
    <t>T356</t>
  </si>
  <si>
    <t>T357</t>
  </si>
  <si>
    <t>T358</t>
  </si>
  <si>
    <t>T359</t>
  </si>
  <si>
    <t>T360</t>
  </si>
  <si>
    <t>T361</t>
  </si>
  <si>
    <t>T362</t>
  </si>
  <si>
    <t>T363</t>
  </si>
  <si>
    <t>T364</t>
  </si>
  <si>
    <t>T365</t>
  </si>
  <si>
    <t>T366</t>
  </si>
  <si>
    <t>T367</t>
  </si>
  <si>
    <t>T368</t>
  </si>
  <si>
    <t>T369</t>
  </si>
  <si>
    <t>T370</t>
  </si>
  <si>
    <t>T371</t>
  </si>
  <si>
    <t>T372</t>
  </si>
  <si>
    <t>T373</t>
  </si>
  <si>
    <t>T374</t>
  </si>
  <si>
    <t>T375</t>
  </si>
  <si>
    <t>T376</t>
  </si>
  <si>
    <t>T377</t>
  </si>
  <si>
    <t>T378</t>
  </si>
  <si>
    <t>T379</t>
  </si>
  <si>
    <t>T380</t>
  </si>
  <si>
    <t>T381</t>
  </si>
  <si>
    <t>T382</t>
  </si>
  <si>
    <t>T383</t>
  </si>
  <si>
    <t>T384</t>
  </si>
  <si>
    <t>T385</t>
  </si>
  <si>
    <t>T386</t>
  </si>
  <si>
    <t>T387</t>
  </si>
  <si>
    <t>T388</t>
  </si>
  <si>
    <t>T389</t>
  </si>
  <si>
    <t>T390</t>
  </si>
  <si>
    <t>T391</t>
  </si>
  <si>
    <t>T392</t>
  </si>
  <si>
    <t>T393</t>
  </si>
  <si>
    <t>T394</t>
  </si>
  <si>
    <t>T395</t>
  </si>
  <si>
    <t>T396</t>
  </si>
  <si>
    <t>T397</t>
  </si>
  <si>
    <t>T398</t>
  </si>
  <si>
    <t>T399</t>
  </si>
  <si>
    <t>T400</t>
  </si>
  <si>
    <t>T401</t>
  </si>
  <si>
    <t>T402</t>
  </si>
  <si>
    <t>T403</t>
  </si>
  <si>
    <t>T404</t>
  </si>
  <si>
    <t>T405</t>
  </si>
  <si>
    <t>T406</t>
  </si>
  <si>
    <t>T407</t>
  </si>
  <si>
    <t>T408</t>
  </si>
  <si>
    <t>T409</t>
  </si>
  <si>
    <t>T410</t>
  </si>
  <si>
    <t>T411</t>
  </si>
  <si>
    <t>T412</t>
  </si>
  <si>
    <t>T413</t>
  </si>
  <si>
    <t>T414</t>
  </si>
  <si>
    <t>T415</t>
  </si>
  <si>
    <t>T416</t>
  </si>
  <si>
    <t>T417</t>
  </si>
  <si>
    <t>T418</t>
  </si>
  <si>
    <t>T419</t>
  </si>
  <si>
    <t>T420</t>
  </si>
  <si>
    <t>T421</t>
  </si>
  <si>
    <t>T422</t>
  </si>
  <si>
    <t>T423</t>
  </si>
  <si>
    <t>T424</t>
  </si>
  <si>
    <t>T425</t>
  </si>
  <si>
    <t>T426</t>
  </si>
  <si>
    <t>T427</t>
  </si>
  <si>
    <t>T428</t>
  </si>
  <si>
    <t>T429</t>
  </si>
  <si>
    <t>T430</t>
  </si>
  <si>
    <t>T431</t>
  </si>
  <si>
    <t>T432</t>
  </si>
  <si>
    <t>T433</t>
  </si>
  <si>
    <t>T434</t>
  </si>
  <si>
    <t>T435</t>
  </si>
  <si>
    <t>T436</t>
  </si>
  <si>
    <t>T437</t>
  </si>
  <si>
    <t>T438</t>
  </si>
  <si>
    <t>T439</t>
  </si>
  <si>
    <t>T440</t>
  </si>
  <si>
    <t>T441</t>
  </si>
  <si>
    <t>T442</t>
  </si>
  <si>
    <t>T443</t>
  </si>
  <si>
    <t>T444</t>
  </si>
  <si>
    <t>T445</t>
  </si>
  <si>
    <t>T446</t>
  </si>
  <si>
    <t>T447</t>
  </si>
  <si>
    <t>T448</t>
  </si>
  <si>
    <t>T449</t>
  </si>
  <si>
    <t>T450</t>
  </si>
  <si>
    <t>T451</t>
  </si>
  <si>
    <t>T452</t>
  </si>
  <si>
    <t>T453</t>
  </si>
  <si>
    <t>T454</t>
  </si>
  <si>
    <t>T455</t>
  </si>
  <si>
    <t>T456</t>
  </si>
  <si>
    <t>T457</t>
  </si>
  <si>
    <t>T458</t>
  </si>
  <si>
    <t>T459</t>
  </si>
  <si>
    <t>T460</t>
  </si>
  <si>
    <t>T461</t>
  </si>
  <si>
    <t>T462</t>
  </si>
  <si>
    <t>T463</t>
  </si>
  <si>
    <t>T464</t>
  </si>
  <si>
    <t>T465</t>
  </si>
  <si>
    <t>T466</t>
  </si>
  <si>
    <t>T467</t>
  </si>
  <si>
    <t>T468</t>
  </si>
  <si>
    <t>T469</t>
  </si>
  <si>
    <t>T470</t>
  </si>
  <si>
    <t>T471</t>
  </si>
  <si>
    <t>T472</t>
  </si>
  <si>
    <t>T473</t>
  </si>
  <si>
    <t>T474</t>
  </si>
  <si>
    <t>T475</t>
  </si>
  <si>
    <t>T476</t>
  </si>
  <si>
    <t>T477</t>
  </si>
  <si>
    <t>T478</t>
  </si>
  <si>
    <t>T479</t>
  </si>
  <si>
    <t>T480</t>
  </si>
  <si>
    <t>T481</t>
  </si>
  <si>
    <t>T482</t>
  </si>
  <si>
    <t>T483</t>
  </si>
  <si>
    <t>T484</t>
  </si>
  <si>
    <t>T485</t>
  </si>
  <si>
    <t>T486</t>
  </si>
  <si>
    <t>T487</t>
  </si>
  <si>
    <t>T488</t>
  </si>
  <si>
    <t>T489</t>
  </si>
  <si>
    <t>T490</t>
  </si>
  <si>
    <t>T491</t>
  </si>
  <si>
    <t>T492</t>
  </si>
  <si>
    <t>T493</t>
  </si>
  <si>
    <t>T494</t>
  </si>
  <si>
    <t>T495</t>
  </si>
  <si>
    <t>T496</t>
  </si>
  <si>
    <t>T497</t>
  </si>
  <si>
    <t>T498</t>
  </si>
  <si>
    <t>T499</t>
  </si>
  <si>
    <t>T500</t>
  </si>
  <si>
    <t>Cost Price</t>
  </si>
  <si>
    <t>Selling Price</t>
  </si>
  <si>
    <t>Revenue</t>
  </si>
  <si>
    <t>Profit</t>
  </si>
  <si>
    <t>Profit Margin</t>
  </si>
  <si>
    <t>Grand Total</t>
  </si>
  <si>
    <t>Quantity Sold</t>
  </si>
  <si>
    <t xml:space="preserve">Profit </t>
  </si>
  <si>
    <t xml:space="preserve">Revenue </t>
  </si>
  <si>
    <t>Overall Performance</t>
  </si>
  <si>
    <t>Transactions</t>
  </si>
  <si>
    <t>Revenue &amp; Profit over time</t>
  </si>
  <si>
    <t>Jan</t>
  </si>
  <si>
    <t>Feb</t>
  </si>
  <si>
    <t>Mar</t>
  </si>
  <si>
    <t>Apr</t>
  </si>
  <si>
    <t>May</t>
  </si>
  <si>
    <t>Jun</t>
  </si>
  <si>
    <t>Jul</t>
  </si>
  <si>
    <t>Aug</t>
  </si>
  <si>
    <t>Month</t>
  </si>
  <si>
    <t>Qty Sold</t>
  </si>
  <si>
    <t xml:space="preserve">Profit Margin % </t>
  </si>
  <si>
    <t>Top 3 Contributors</t>
  </si>
  <si>
    <t>Contributions to Revenue</t>
  </si>
  <si>
    <t>Products driving sales</t>
  </si>
  <si>
    <t>Profitability by Product</t>
  </si>
  <si>
    <t>Revenue by Brand</t>
  </si>
  <si>
    <t>Revenue by Category</t>
  </si>
  <si>
    <t>Countries driving Revenue</t>
  </si>
  <si>
    <t>Payment Method</t>
  </si>
  <si>
    <t>% Profit Margin</t>
  </si>
  <si>
    <t>Product Purchasing Pattern by Payment Method</t>
  </si>
  <si>
    <t xml:space="preserve"> Profit</t>
  </si>
  <si>
    <t>Combined contribution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</si>
</sst>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5" formatCode="&quot;$&quot;#,##0.00"/>
    <numFmt numFmtId="166" formatCode="0.0%"/>
    <numFmt numFmtId="167" formatCode="&quot;$&quot;#,##0"/>
    <numFmt numFmtId="168" formatCode="_(* #,##0_);_(* \(#,##0\);_(* &quot;-&quot;??_);_(@_)"/>
  </numFmts>
  <fonts count="14" x14ac:knownFonts="1">
    <font>
      <sz val="11"/>
      <color theme="1"/>
      <name val="Calibri"/>
    </font>
    <font>
      <sz val="11"/>
      <color theme="1"/>
      <name val="Calibri"/>
      <family val="2"/>
    </font>
    <font>
      <sz val="11"/>
      <color theme="1"/>
      <name val="Calibri"/>
    </font>
    <font>
      <sz val="8"/>
      <name val="Calibri"/>
    </font>
    <font>
      <sz val="12"/>
      <color theme="1"/>
      <name val="Calibri"/>
      <family val="2"/>
    </font>
    <font>
      <b/>
      <sz val="12"/>
      <color theme="1"/>
      <name val="Calibri"/>
      <family val="2"/>
    </font>
    <font>
      <sz val="12"/>
      <color theme="1"/>
      <name val="Amasis MT Pro"/>
      <family val="1"/>
    </font>
    <font>
      <b/>
      <sz val="12"/>
      <color theme="1"/>
      <name val="Amasis MT Pro"/>
      <family val="1"/>
    </font>
    <font>
      <b/>
      <sz val="12"/>
      <color rgb="FFFF0000"/>
      <name val="Amasis MT Pro"/>
      <family val="1"/>
    </font>
    <font>
      <b/>
      <sz val="14"/>
      <color rgb="FFFF0000"/>
      <name val="Amasis MT Pro"/>
      <family val="1"/>
    </font>
    <font>
      <sz val="14"/>
      <color theme="1"/>
      <name val="Amasis MT Pro"/>
      <family val="1"/>
    </font>
    <font>
      <b/>
      <sz val="14"/>
      <color theme="1"/>
      <name val="Amasis MT Pro"/>
      <family val="1"/>
    </font>
    <font>
      <b/>
      <sz val="10"/>
      <color theme="1"/>
      <name val="Amasis MT Pro"/>
      <family val="1"/>
    </font>
    <font>
      <sz val="12"/>
      <name val="Amasis MT Pro"/>
      <family val="1"/>
    </font>
  </fonts>
  <fills count="4">
    <fill>
      <patternFill patternType="none"/>
    </fill>
    <fill>
      <patternFill patternType="gray125"/>
    </fill>
    <fill>
      <patternFill patternType="solid">
        <fgColor theme="3"/>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38">
    <xf numFmtId="0" fontId="0" fillId="0" borderId="0" xfId="0"/>
    <xf numFmtId="165" fontId="0" fillId="0" borderId="0" xfId="0" applyNumberFormat="1"/>
    <xf numFmtId="22" fontId="0" fillId="0" borderId="0" xfId="0" applyNumberFormat="1"/>
    <xf numFmtId="9" fontId="0" fillId="0" borderId="0" xfId="1" applyFont="1"/>
    <xf numFmtId="0" fontId="4" fillId="0" borderId="0" xfId="0" applyFont="1"/>
    <xf numFmtId="0" fontId="6" fillId="0" borderId="0" xfId="0" applyFont="1"/>
    <xf numFmtId="0" fontId="8" fillId="0" borderId="0" xfId="0" applyFont="1"/>
    <xf numFmtId="166" fontId="6" fillId="0" borderId="0" xfId="0" applyNumberFormat="1" applyFont="1"/>
    <xf numFmtId="167" fontId="6" fillId="0" borderId="0" xfId="0" applyNumberFormat="1" applyFont="1"/>
    <xf numFmtId="0" fontId="6" fillId="0" borderId="0" xfId="0" pivotButton="1" applyFont="1"/>
    <xf numFmtId="0" fontId="6" fillId="0" borderId="0" xfId="0" applyFont="1" applyAlignment="1">
      <alignment horizontal="left"/>
    </xf>
    <xf numFmtId="0" fontId="9" fillId="0" borderId="0" xfId="0" applyFont="1"/>
    <xf numFmtId="0" fontId="10" fillId="0" borderId="0" xfId="0" applyFont="1"/>
    <xf numFmtId="0" fontId="6" fillId="0" borderId="0" xfId="0" applyFont="1" applyAlignment="1">
      <alignment horizontal="center"/>
    </xf>
    <xf numFmtId="0" fontId="10" fillId="2" borderId="0" xfId="0" applyFont="1" applyFill="1"/>
    <xf numFmtId="0" fontId="6" fillId="2" borderId="0" xfId="0" applyFont="1" applyFill="1"/>
    <xf numFmtId="166" fontId="6" fillId="2" borderId="0" xfId="0" applyNumberFormat="1" applyFont="1" applyFill="1"/>
    <xf numFmtId="0" fontId="11" fillId="0" borderId="0" xfId="0" applyFont="1"/>
    <xf numFmtId="9" fontId="6" fillId="0" borderId="0" xfId="1" applyFont="1"/>
    <xf numFmtId="9" fontId="7" fillId="0" borderId="0" xfId="0" applyNumberFormat="1" applyFont="1"/>
    <xf numFmtId="0" fontId="12" fillId="0" borderId="0" xfId="0" applyFont="1"/>
    <xf numFmtId="0" fontId="6" fillId="0" borderId="0" xfId="0" applyFont="1" applyAlignment="1">
      <alignment horizontal="right" vertical="center"/>
    </xf>
    <xf numFmtId="0" fontId="9" fillId="0" borderId="0" xfId="0" applyFont="1" applyAlignment="1">
      <alignment horizontal="right"/>
    </xf>
    <xf numFmtId="167" fontId="6" fillId="0" borderId="0" xfId="0" applyNumberFormat="1" applyFont="1" applyAlignment="1">
      <alignment horizontal="right"/>
    </xf>
    <xf numFmtId="0" fontId="6" fillId="0" borderId="0" xfId="0" applyFont="1" applyAlignment="1">
      <alignment horizontal="right"/>
    </xf>
    <xf numFmtId="0" fontId="0" fillId="3" borderId="0" xfId="0" applyFill="1"/>
    <xf numFmtId="168" fontId="6" fillId="0" borderId="0" xfId="0" applyNumberFormat="1" applyFont="1"/>
    <xf numFmtId="0" fontId="1" fillId="3" borderId="0" xfId="0" applyFont="1" applyFill="1"/>
    <xf numFmtId="167" fontId="6" fillId="0" borderId="1" xfId="0" applyNumberFormat="1" applyFont="1" applyBorder="1"/>
    <xf numFmtId="168" fontId="6" fillId="0" borderId="1" xfId="0" applyNumberFormat="1" applyFont="1" applyBorder="1"/>
    <xf numFmtId="166" fontId="6" fillId="0" borderId="0" xfId="1" applyNumberFormat="1" applyFont="1"/>
    <xf numFmtId="9" fontId="5" fillId="0" borderId="0" xfId="0" applyNumberFormat="1" applyFont="1"/>
    <xf numFmtId="0" fontId="6" fillId="0" borderId="0" xfId="0" applyNumberFormat="1" applyFont="1"/>
    <xf numFmtId="0" fontId="6" fillId="0" borderId="0" xfId="0" applyFont="1" applyFill="1"/>
    <xf numFmtId="0" fontId="6" fillId="0" borderId="1" xfId="0" applyNumberFormat="1" applyFont="1" applyBorder="1"/>
    <xf numFmtId="166" fontId="6" fillId="0" borderId="1" xfId="0" applyNumberFormat="1" applyFont="1" applyFill="1" applyBorder="1"/>
    <xf numFmtId="0" fontId="8" fillId="0" borderId="1" xfId="0" applyNumberFormat="1" applyFont="1" applyBorder="1"/>
    <xf numFmtId="0" fontId="13" fillId="0" borderId="1" xfId="0" applyNumberFormat="1" applyFont="1" applyBorder="1"/>
  </cellXfs>
  <cellStyles count="2">
    <cellStyle name="Normal" xfId="0" builtinId="0"/>
    <cellStyle name="Per cent" xfId="1" builtinId="5"/>
  </cellStyles>
  <dxfs count="1821">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alignment vertical="center"/>
    </dxf>
    <dxf>
      <alignment horizontal="right"/>
    </dxf>
    <dxf>
      <alignment horizontal="right"/>
    </dxf>
    <dxf>
      <numFmt numFmtId="167" formatCode="&quot;$&quot;#,##0"/>
    </dxf>
    <dxf>
      <font>
        <sz val="12"/>
      </font>
    </dxf>
    <dxf>
      <font>
        <name val="Amasis MT Pro"/>
        <family val="1"/>
      </font>
    </dxf>
    <dxf>
      <font>
        <name val="Amasis MT Pro"/>
        <family val="1"/>
      </font>
    </dxf>
    <dxf>
      <font>
        <name val="Amasis MT Pro"/>
        <family val="1"/>
      </font>
    </dxf>
    <dxf>
      <numFmt numFmtId="167" formatCode="&quot;$&quot;#,##0"/>
    </dxf>
    <dxf>
      <numFmt numFmtId="167" formatCode="&quot;$&quot;#,##0"/>
    </dxf>
    <dxf>
      <font>
        <sz val="12"/>
      </font>
    </dxf>
    <dxf>
      <font>
        <sz val="12"/>
      </font>
    </dxf>
    <dxf>
      <font>
        <sz val="12"/>
      </font>
    </dxf>
    <dxf>
      <font>
        <sz val="12"/>
      </font>
    </dxf>
    <dxf>
      <font>
        <sz val="12"/>
      </font>
    </dxf>
    <dxf>
      <font>
        <sz val="12"/>
      </font>
    </dxf>
    <dxf>
      <font>
        <sz val="12"/>
      </font>
    </dxf>
    <dxf>
      <font>
        <sz val="12"/>
      </font>
    </dxf>
    <dxf>
      <font>
        <name val="Amasis MT Pro"/>
        <family val="1"/>
      </font>
    </dxf>
    <dxf>
      <font>
        <name val="Amasis MT Pro"/>
        <family val="1"/>
      </font>
    </dxf>
    <dxf>
      <font>
        <name val="Amasis MT Pro"/>
        <family val="1"/>
      </font>
    </dxf>
    <dxf>
      <fill>
        <patternFill patternType="none">
          <bgColor auto="1"/>
        </patternFill>
      </fill>
    </dxf>
    <dxf>
      <fill>
        <patternFill patternType="none">
          <bgColor auto="1"/>
        </patternFill>
      </fill>
    </dxf>
    <dxf>
      <numFmt numFmtId="166" formatCode="0.0%"/>
    </dxf>
    <dxf>
      <numFmt numFmtId="167" formatCode="&quot;$&quot;#,##0"/>
    </dxf>
    <dxf>
      <numFmt numFmtId="167" formatCode="&quot;$&quot;#,##0"/>
    </dxf>
    <dxf>
      <font>
        <sz val="12"/>
      </font>
    </dxf>
    <dxf>
      <font>
        <sz val="12"/>
      </font>
    </dxf>
    <dxf>
      <font>
        <sz val="12"/>
      </font>
    </dxf>
    <dxf>
      <alignment horizontal="center"/>
    </dxf>
    <dxf>
      <numFmt numFmtId="168"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numFmt numFmtId="167" formatCode="&quot;$&quot;#,##0"/>
    </dxf>
    <dxf>
      <numFmt numFmtId="167" formatCode="&quot;$&quot;#,##0"/>
    </dxf>
    <dxf>
      <alignment vertical="center"/>
    </dxf>
    <dxf>
      <alignment vertical="center"/>
    </dxf>
    <dxf>
      <alignment horizontal="right"/>
    </dxf>
    <dxf>
      <alignment horizontal="right"/>
    </dxf>
    <dxf>
      <alignment horizontal="right"/>
    </dxf>
    <dxf>
      <font>
        <sz val="12"/>
      </font>
    </dxf>
    <dxf>
      <font>
        <name val="Amasis MT Pro"/>
        <family val="1"/>
      </font>
    </dxf>
    <dxf>
      <font>
        <name val="Amasis MT Pro"/>
        <family val="1"/>
      </font>
    </dxf>
    <dxf>
      <font>
        <sz val="12"/>
      </font>
    </dxf>
    <dxf>
      <font>
        <sz val="12"/>
      </font>
    </dxf>
    <dxf>
      <font>
        <sz val="12"/>
      </font>
    </dxf>
    <dxf>
      <font>
        <sz val="12"/>
      </font>
    </dxf>
    <dxf>
      <numFmt numFmtId="166" formatCode="0.0%"/>
    </dxf>
    <dxf>
      <numFmt numFmtId="167" formatCode="&quot;$&quot;#,##0"/>
    </dxf>
    <dxf>
      <numFmt numFmtId="167" formatCode="&quot;$&quot;#,##0"/>
    </dxf>
    <dxf>
      <numFmt numFmtId="166" formatCode="0.0%"/>
    </dxf>
    <dxf>
      <font>
        <sz val="12"/>
      </font>
    </dxf>
    <dxf>
      <font>
        <name val="Amasis MT Pro"/>
        <family val="1"/>
      </font>
    </dxf>
    <dxf>
      <font>
        <name val="Amasis MT Pro"/>
        <family val="1"/>
      </font>
    </dxf>
    <dxf>
      <font>
        <name val="Amasis MT Pro"/>
        <family val="1"/>
      </font>
    </dxf>
    <dxf>
      <numFmt numFmtId="167" formatCode="&quot;$&quot;#,##0"/>
    </dxf>
    <dxf>
      <font>
        <sz val="12"/>
      </font>
    </dxf>
    <dxf>
      <font>
        <sz val="12"/>
      </font>
    </dxf>
    <dxf>
      <font>
        <sz val="12"/>
      </font>
    </dxf>
    <dxf>
      <font>
        <sz val="12"/>
      </font>
    </dxf>
    <dxf>
      <font>
        <sz val="12"/>
      </font>
    </dxf>
    <dxf>
      <numFmt numFmtId="167" formatCode="&quot;$&quot;#,##0"/>
    </dxf>
    <dxf>
      <alignment horizontal="right"/>
    </dxf>
    <dxf>
      <numFmt numFmtId="167" formatCode="&quot;$&quot;#,##0"/>
    </dxf>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numFmt numFmtId="167" formatCode="&quot;$&quot;#,##0"/>
    </dxf>
    <dxf>
      <numFmt numFmtId="167" formatCode="&quot;$&quot;#,##0"/>
    </dxf>
    <dxf>
      <numFmt numFmtId="167" formatCode="&quot;$&quot;#,##0"/>
    </dxf>
    <dxf>
      <numFmt numFmtId="167" formatCode="&quot;$&quot;#,##0"/>
    </dxf>
    <dxf>
      <numFmt numFmtId="0" formatCode="General"/>
    </dxf>
    <dxf>
      <font>
        <b/>
        <color rgb="FFFF0000"/>
      </font>
    </dxf>
    <dxf>
      <font>
        <b/>
        <color rgb="FFFF0000"/>
      </font>
    </dxf>
    <dxf>
      <font>
        <b/>
        <color rgb="FFFF0000"/>
      </font>
    </dxf>
    <dxf>
      <font>
        <b/>
        <color rgb="FFFF0000"/>
      </font>
    </dxf>
    <dxf>
      <font>
        <b/>
        <color rgb="FFFF0000"/>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auto="1"/>
      </font>
    </dxf>
    <dxf>
      <font>
        <b val="0"/>
      </font>
    </dxf>
    <dxf>
      <font>
        <color auto="1"/>
      </font>
    </dxf>
    <dxf>
      <font>
        <b val="0"/>
      </font>
    </dxf>
    <dxf>
      <font>
        <color rgb="FFFF0000"/>
      </font>
    </dxf>
    <dxf>
      <font>
        <b/>
      </font>
    </dxf>
    <dxf>
      <alignment horizontal="right"/>
    </dxf>
    <dxf>
      <font>
        <b/>
        <color rgb="FFFF0000"/>
      </font>
    </dxf>
    <dxf>
      <font>
        <b/>
        <color rgb="FFFF0000"/>
      </font>
    </dxf>
    <dxf>
      <font>
        <sz val="12"/>
      </font>
    </dxf>
    <dxf>
      <font>
        <name val="Amasis MT Pro"/>
        <family val="1"/>
      </font>
    </dxf>
    <dxf>
      <font>
        <name val="Amasis MT Pro"/>
        <family val="1"/>
      </font>
    </dxf>
    <dxf>
      <font>
        <name val="Amasis MT Pro"/>
        <family val="1"/>
      </font>
    </dxf>
    <dxf>
      <numFmt numFmtId="167" formatCode="&quot;$&quot;#,##0"/>
    </dxf>
    <dxf>
      <font>
        <sz val="12"/>
      </font>
    </dxf>
    <dxf>
      <font>
        <sz val="12"/>
      </font>
    </dxf>
    <dxf>
      <font>
        <sz val="12"/>
      </font>
    </dxf>
    <dxf>
      <font>
        <sz val="12"/>
      </font>
    </dxf>
    <dxf>
      <font>
        <sz val="12"/>
      </font>
    </dxf>
    <dxf>
      <numFmt numFmtId="168" formatCode="_(* #,##0_);_(* \(#,##0\);_(* &quot;-&quot;??_);_(@_)"/>
    </dxf>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alignment vertical="center"/>
    </dxf>
    <dxf>
      <alignment horizontal="right"/>
    </dxf>
    <dxf>
      <alignment horizontal="right"/>
    </dxf>
    <dxf>
      <numFmt numFmtId="167" formatCode="&quot;$&quot;#,##0"/>
    </dxf>
    <dxf>
      <font>
        <sz val="12"/>
      </font>
    </dxf>
    <dxf>
      <font>
        <name val="Amasis MT Pro"/>
        <family val="1"/>
      </font>
    </dxf>
    <dxf>
      <font>
        <name val="Amasis MT Pro"/>
        <family val="1"/>
      </font>
    </dxf>
    <dxf>
      <font>
        <name val="Amasis MT Pro"/>
        <family val="1"/>
      </font>
    </dxf>
    <dxf>
      <numFmt numFmtId="167" formatCode="&quot;$&quot;#,##0"/>
    </dxf>
    <dxf>
      <font>
        <sz val="12"/>
      </font>
    </dxf>
    <dxf>
      <font>
        <sz val="12"/>
      </font>
    </dxf>
    <dxf>
      <font>
        <sz val="12"/>
      </font>
    </dxf>
    <dxf>
      <font>
        <sz val="12"/>
      </font>
    </dxf>
    <dxf>
      <font>
        <sz val="12"/>
      </font>
    </dxf>
    <dxf>
      <font>
        <sz val="12"/>
      </font>
    </dxf>
    <dxf>
      <font>
        <name val="Amasis MT Pro"/>
        <family val="1"/>
      </font>
    </dxf>
    <dxf>
      <font>
        <name val="Amasis MT Pro"/>
        <family val="1"/>
      </font>
    </dxf>
    <dxf>
      <font>
        <name val="Amasis MT Pro"/>
        <family val="1"/>
      </font>
    </dxf>
    <dxf>
      <numFmt numFmtId="167" formatCode="&quot;$&quot;#,##0"/>
    </dxf>
    <dxf>
      <font>
        <sz val="12"/>
      </font>
    </dxf>
    <dxf>
      <font>
        <sz val="12"/>
      </font>
    </dxf>
    <dxf>
      <font>
        <sz val="12"/>
      </font>
    </dxf>
    <dxf>
      <font>
        <sz val="12"/>
      </font>
    </dxf>
    <dxf>
      <font>
        <sz val="12"/>
      </font>
    </dxf>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alignment vertical="center"/>
    </dxf>
    <dxf>
      <alignment horizontal="right"/>
    </dxf>
    <dxf>
      <alignment horizontal="right"/>
    </dxf>
    <dxf>
      <numFmt numFmtId="167" formatCode="&quot;$&quot;#,##0"/>
    </dxf>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numFmt numFmtId="167" formatCode="&quot;$&quot;#,##0"/>
    </dxf>
    <dxf>
      <numFmt numFmtId="167" formatCode="&quot;$&quot;#,##0"/>
    </dxf>
    <dxf>
      <alignment vertical="center"/>
    </dxf>
    <dxf>
      <alignment vertical="center"/>
    </dxf>
    <dxf>
      <alignment horizontal="right"/>
    </dxf>
    <dxf>
      <alignment horizontal="right"/>
    </dxf>
    <dxf>
      <alignment horizontal="right"/>
    </dxf>
    <dxf>
      <font>
        <sz val="12"/>
      </font>
    </dxf>
    <dxf>
      <font>
        <name val="Amasis MT Pro"/>
        <family val="1"/>
      </font>
    </dxf>
    <dxf>
      <font>
        <name val="Amasis MT Pro"/>
        <family val="1"/>
      </font>
    </dxf>
    <dxf>
      <font>
        <sz val="12"/>
      </font>
    </dxf>
    <dxf>
      <font>
        <sz val="12"/>
      </font>
    </dxf>
    <dxf>
      <font>
        <sz val="12"/>
      </font>
    </dxf>
    <dxf>
      <font>
        <sz val="12"/>
      </font>
    </dxf>
    <dxf>
      <numFmt numFmtId="166" formatCode="0.0%"/>
    </dxf>
    <dxf>
      <numFmt numFmtId="167" formatCode="&quot;$&quot;#,##0"/>
    </dxf>
    <dxf>
      <numFmt numFmtId="167" formatCode="&quot;$&quot;#,##0"/>
    </dxf>
    <dxf>
      <numFmt numFmtId="166" formatCode="0.0%"/>
    </dxf>
    <dxf>
      <font>
        <sz val="12"/>
      </font>
    </dxf>
    <dxf>
      <font>
        <name val="Amasis MT Pro"/>
        <family val="1"/>
      </font>
    </dxf>
    <dxf>
      <font>
        <name val="Amasis MT Pro"/>
        <family val="1"/>
      </font>
    </dxf>
    <dxf>
      <font>
        <name val="Amasis MT Pro"/>
        <family val="1"/>
      </font>
    </dxf>
    <dxf>
      <numFmt numFmtId="167" formatCode="&quot;$&quot;#,##0"/>
    </dxf>
    <dxf>
      <font>
        <sz val="12"/>
      </font>
    </dxf>
    <dxf>
      <font>
        <sz val="12"/>
      </font>
    </dxf>
    <dxf>
      <font>
        <sz val="12"/>
      </font>
    </dxf>
    <dxf>
      <font>
        <sz val="12"/>
      </font>
    </dxf>
    <dxf>
      <font>
        <sz val="12"/>
      </font>
    </dxf>
    <dxf>
      <numFmt numFmtId="168" formatCode="_(* #,##0_);_(* \(#,##0\);_(* &quot;-&quot;??_);_(@_)"/>
    </dxf>
    <dxf>
      <font>
        <sz val="12"/>
      </font>
    </dxf>
    <dxf>
      <font>
        <name val="Amasis MT Pro"/>
        <family val="1"/>
      </font>
    </dxf>
    <dxf>
      <font>
        <name val="Amasis MT Pro"/>
        <family val="1"/>
      </font>
    </dxf>
    <dxf>
      <font>
        <name val="Amasis MT Pro"/>
        <family val="1"/>
      </font>
    </dxf>
    <dxf>
      <numFmt numFmtId="167" formatCode="&quot;$&quot;#,##0"/>
    </dxf>
    <dxf>
      <numFmt numFmtId="167" formatCode="&quot;$&quot;#,##0"/>
    </dxf>
    <dxf>
      <font>
        <sz val="12"/>
      </font>
    </dxf>
    <dxf>
      <font>
        <sz val="12"/>
      </font>
    </dxf>
    <dxf>
      <font>
        <sz val="12"/>
      </font>
    </dxf>
    <dxf>
      <font>
        <sz val="12"/>
      </font>
    </dxf>
    <dxf>
      <font>
        <sz val="12"/>
      </font>
    </dxf>
    <dxf>
      <font>
        <sz val="12"/>
      </font>
    </dxf>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numFmt numFmtId="167" formatCode="&quot;$&quot;#,##0"/>
    </dxf>
    <dxf>
      <numFmt numFmtId="167" formatCode="&quot;$&quot;#,##0"/>
    </dxf>
    <dxf>
      <numFmt numFmtId="167" formatCode="&quot;$&quot;#,##0"/>
    </dxf>
    <dxf>
      <numFmt numFmtId="167" formatCode="&quot;$&quot;#,##0"/>
    </dxf>
    <dxf>
      <numFmt numFmtId="0" formatCode="General"/>
    </dxf>
    <dxf>
      <font>
        <b/>
        <color rgb="FFFF0000"/>
      </font>
    </dxf>
    <dxf>
      <font>
        <b/>
        <color rgb="FFFF0000"/>
      </font>
    </dxf>
    <dxf>
      <font>
        <b/>
        <color rgb="FFFF0000"/>
      </font>
    </dxf>
    <dxf>
      <font>
        <b/>
        <color rgb="FFFF0000"/>
      </font>
    </dxf>
    <dxf>
      <font>
        <b/>
        <color rgb="FFFF0000"/>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auto="1"/>
      </font>
    </dxf>
    <dxf>
      <font>
        <b val="0"/>
      </font>
    </dxf>
    <dxf>
      <font>
        <color auto="1"/>
      </font>
    </dxf>
    <dxf>
      <font>
        <b val="0"/>
      </font>
    </dxf>
    <dxf>
      <font>
        <color rgb="FFFF0000"/>
      </font>
    </dxf>
    <dxf>
      <font>
        <b/>
      </font>
    </dxf>
    <dxf>
      <alignment horizontal="right"/>
    </dxf>
    <dxf>
      <font>
        <b/>
        <color rgb="FFFF0000"/>
      </font>
    </dxf>
    <dxf>
      <font>
        <b/>
        <color rgb="FFFF0000"/>
      </font>
    </dxf>
    <dxf>
      <font>
        <sz val="12"/>
      </font>
    </dxf>
    <dxf>
      <font>
        <name val="Amasis MT Pro"/>
        <family val="1"/>
      </font>
    </dxf>
    <dxf>
      <font>
        <name val="Amasis MT Pro"/>
        <family val="1"/>
      </font>
    </dxf>
    <dxf>
      <font>
        <name val="Amasis MT Pro"/>
        <family val="1"/>
      </font>
    </dxf>
    <dxf>
      <numFmt numFmtId="167" formatCode="&quot;$&quot;#,##0"/>
    </dxf>
    <dxf>
      <font>
        <sz val="12"/>
      </font>
    </dxf>
    <dxf>
      <font>
        <sz val="12"/>
      </font>
    </dxf>
    <dxf>
      <font>
        <sz val="12"/>
      </font>
    </dxf>
    <dxf>
      <font>
        <sz val="12"/>
      </font>
    </dxf>
    <dxf>
      <font>
        <sz val="12"/>
      </font>
    </dxf>
    <dxf>
      <numFmt numFmtId="167" formatCode="&quot;$&quot;#,##0"/>
    </dxf>
    <dxf>
      <alignment horizontal="right"/>
    </dxf>
    <dxf>
      <numFmt numFmtId="167" formatCode="&quot;$&quot;#,##0"/>
    </dxf>
    <dxf>
      <font>
        <sz val="12"/>
      </font>
    </dxf>
    <dxf>
      <font>
        <sz val="12"/>
      </font>
    </dxf>
    <dxf>
      <font>
        <name val="Amasis MT Pro"/>
        <family val="1"/>
      </font>
    </dxf>
    <dxf>
      <font>
        <name val="Amasis MT Pro"/>
        <family val="1"/>
      </font>
    </dxf>
    <dxf>
      <font>
        <name val="Amasis MT Pro"/>
        <family val="1"/>
      </font>
    </dxf>
    <dxf>
      <fill>
        <patternFill patternType="none">
          <bgColor auto="1"/>
        </patternFill>
      </fill>
    </dxf>
    <dxf>
      <fill>
        <patternFill patternType="none">
          <bgColor auto="1"/>
        </patternFill>
      </fill>
    </dxf>
    <dxf>
      <numFmt numFmtId="166" formatCode="0.0%"/>
    </dxf>
    <dxf>
      <numFmt numFmtId="167" formatCode="&quot;$&quot;#,##0"/>
    </dxf>
    <dxf>
      <numFmt numFmtId="167" formatCode="&quot;$&quot;#,##0"/>
    </dxf>
    <dxf>
      <font>
        <sz val="12"/>
      </font>
    </dxf>
    <dxf>
      <font>
        <sz val="12"/>
      </font>
    </dxf>
    <dxf>
      <font>
        <sz val="12"/>
      </font>
    </dxf>
    <dxf>
      <alignment horizontal="center"/>
    </dxf>
    <dxf>
      <numFmt numFmtId="168"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name val="Amasis MT Pro"/>
        <family val="1"/>
      </font>
    </dxf>
    <dxf>
      <font>
        <name val="Amasis MT Pro"/>
        <family val="1"/>
      </font>
    </dxf>
    <dxf>
      <font>
        <name val="Amasis MT Pro"/>
        <family val="1"/>
      </font>
    </dxf>
    <dxf>
      <numFmt numFmtId="167" formatCode="&quot;$&quot;#,##0"/>
    </dxf>
    <dxf>
      <font>
        <sz val="12"/>
      </font>
    </dxf>
    <dxf>
      <font>
        <sz val="12"/>
      </font>
    </dxf>
    <dxf>
      <font>
        <sz val="12"/>
      </font>
    </dxf>
    <dxf>
      <font>
        <sz val="12"/>
      </font>
    </dxf>
    <dxf>
      <font>
        <sz val="12"/>
      </font>
    </dxf>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alignment vertical="center"/>
    </dxf>
    <dxf>
      <alignment horizontal="right"/>
    </dxf>
    <dxf>
      <alignment horizontal="right"/>
    </dxf>
    <dxf>
      <numFmt numFmtId="167" formatCode="&quot;$&quot;#,##0"/>
    </dxf>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numFmt numFmtId="167" formatCode="&quot;$&quot;#,##0"/>
    </dxf>
    <dxf>
      <numFmt numFmtId="167" formatCode="&quot;$&quot;#,##0"/>
    </dxf>
    <dxf>
      <alignment vertical="center"/>
    </dxf>
    <dxf>
      <alignment vertical="center"/>
    </dxf>
    <dxf>
      <alignment horizontal="right"/>
    </dxf>
    <dxf>
      <alignment horizontal="right"/>
    </dxf>
    <dxf>
      <alignment horizontal="right"/>
    </dxf>
    <dxf>
      <font>
        <sz val="12"/>
      </font>
    </dxf>
    <dxf>
      <font>
        <name val="Amasis MT Pro"/>
        <family val="1"/>
      </font>
    </dxf>
    <dxf>
      <font>
        <name val="Amasis MT Pro"/>
        <family val="1"/>
      </font>
    </dxf>
    <dxf>
      <font>
        <sz val="12"/>
      </font>
    </dxf>
    <dxf>
      <font>
        <sz val="12"/>
      </font>
    </dxf>
    <dxf>
      <font>
        <sz val="12"/>
      </font>
    </dxf>
    <dxf>
      <font>
        <sz val="12"/>
      </font>
    </dxf>
    <dxf>
      <numFmt numFmtId="166" formatCode="0.0%"/>
    </dxf>
    <dxf>
      <numFmt numFmtId="167" formatCode="&quot;$&quot;#,##0"/>
    </dxf>
    <dxf>
      <numFmt numFmtId="167" formatCode="&quot;$&quot;#,##0"/>
    </dxf>
    <dxf>
      <numFmt numFmtId="166" formatCode="0.0%"/>
    </dxf>
    <dxf>
      <font>
        <sz val="12"/>
      </font>
    </dxf>
    <dxf>
      <font>
        <name val="Amasis MT Pro"/>
        <family val="1"/>
      </font>
    </dxf>
    <dxf>
      <font>
        <name val="Amasis MT Pro"/>
        <family val="1"/>
      </font>
    </dxf>
    <dxf>
      <font>
        <name val="Amasis MT Pro"/>
        <family val="1"/>
      </font>
    </dxf>
    <dxf>
      <numFmt numFmtId="167" formatCode="&quot;$&quot;#,##0"/>
    </dxf>
    <dxf>
      <font>
        <sz val="12"/>
      </font>
    </dxf>
    <dxf>
      <font>
        <sz val="12"/>
      </font>
    </dxf>
    <dxf>
      <font>
        <sz val="12"/>
      </font>
    </dxf>
    <dxf>
      <font>
        <sz val="12"/>
      </font>
    </dxf>
    <dxf>
      <font>
        <sz val="12"/>
      </font>
    </dxf>
    <dxf>
      <numFmt numFmtId="168" formatCode="_(* #,##0_);_(* \(#,##0\);_(* &quot;-&quot;??_);_(@_)"/>
    </dxf>
    <dxf>
      <font>
        <sz val="12"/>
      </font>
    </dxf>
    <dxf>
      <font>
        <name val="Amasis MT Pro"/>
        <family val="1"/>
      </font>
    </dxf>
    <dxf>
      <font>
        <name val="Amasis MT Pro"/>
        <family val="1"/>
      </font>
    </dxf>
    <dxf>
      <font>
        <name val="Amasis MT Pro"/>
        <family val="1"/>
      </font>
    </dxf>
    <dxf>
      <numFmt numFmtId="167" formatCode="&quot;$&quot;#,##0"/>
    </dxf>
    <dxf>
      <numFmt numFmtId="167" formatCode="&quot;$&quot;#,##0"/>
    </dxf>
    <dxf>
      <font>
        <sz val="12"/>
      </font>
    </dxf>
    <dxf>
      <font>
        <sz val="12"/>
      </font>
    </dxf>
    <dxf>
      <font>
        <sz val="12"/>
      </font>
    </dxf>
    <dxf>
      <font>
        <sz val="12"/>
      </font>
    </dxf>
    <dxf>
      <font>
        <sz val="12"/>
      </font>
    </dxf>
    <dxf>
      <font>
        <sz val="12"/>
      </font>
    </dxf>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numFmt numFmtId="167" formatCode="&quot;$&quot;#,##0"/>
    </dxf>
    <dxf>
      <numFmt numFmtId="167" formatCode="&quot;$&quot;#,##0"/>
    </dxf>
    <dxf>
      <numFmt numFmtId="167" formatCode="&quot;$&quot;#,##0"/>
    </dxf>
    <dxf>
      <numFmt numFmtId="167" formatCode="&quot;$&quot;#,##0"/>
    </dxf>
    <dxf>
      <numFmt numFmtId="0" formatCode="General"/>
    </dxf>
    <dxf>
      <font>
        <b/>
        <color rgb="FFFF0000"/>
      </font>
    </dxf>
    <dxf>
      <font>
        <b/>
        <color rgb="FFFF0000"/>
      </font>
    </dxf>
    <dxf>
      <font>
        <b/>
        <color rgb="FFFF0000"/>
      </font>
    </dxf>
    <dxf>
      <font>
        <b/>
        <color rgb="FFFF0000"/>
      </font>
    </dxf>
    <dxf>
      <font>
        <b/>
        <color rgb="FFFF0000"/>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auto="1"/>
      </font>
    </dxf>
    <dxf>
      <font>
        <b val="0"/>
      </font>
    </dxf>
    <dxf>
      <font>
        <color auto="1"/>
      </font>
    </dxf>
    <dxf>
      <font>
        <b val="0"/>
      </font>
    </dxf>
    <dxf>
      <font>
        <color rgb="FFFF0000"/>
      </font>
    </dxf>
    <dxf>
      <font>
        <b/>
      </font>
    </dxf>
    <dxf>
      <alignment horizontal="right"/>
    </dxf>
    <dxf>
      <font>
        <b/>
        <color rgb="FFFF0000"/>
      </font>
    </dxf>
    <dxf>
      <font>
        <b/>
        <color rgb="FFFF0000"/>
      </font>
    </dxf>
    <dxf>
      <font>
        <sz val="12"/>
      </font>
    </dxf>
    <dxf>
      <font>
        <name val="Amasis MT Pro"/>
        <family val="1"/>
      </font>
    </dxf>
    <dxf>
      <font>
        <name val="Amasis MT Pro"/>
        <family val="1"/>
      </font>
    </dxf>
    <dxf>
      <font>
        <name val="Amasis MT Pro"/>
        <family val="1"/>
      </font>
    </dxf>
    <dxf>
      <numFmt numFmtId="167" formatCode="&quot;$&quot;#,##0"/>
    </dxf>
    <dxf>
      <font>
        <sz val="12"/>
      </font>
    </dxf>
    <dxf>
      <font>
        <sz val="12"/>
      </font>
    </dxf>
    <dxf>
      <font>
        <sz val="12"/>
      </font>
    </dxf>
    <dxf>
      <font>
        <sz val="12"/>
      </font>
    </dxf>
    <dxf>
      <font>
        <sz val="12"/>
      </font>
    </dxf>
    <dxf>
      <numFmt numFmtId="167" formatCode="&quot;$&quot;#,##0"/>
    </dxf>
    <dxf>
      <alignment horizontal="right"/>
    </dxf>
    <dxf>
      <numFmt numFmtId="167" formatCode="&quot;$&quot;#,##0"/>
    </dxf>
    <dxf>
      <font>
        <sz val="12"/>
      </font>
    </dxf>
    <dxf>
      <font>
        <sz val="12"/>
      </font>
    </dxf>
    <dxf>
      <font>
        <name val="Amasis MT Pro"/>
        <family val="1"/>
      </font>
    </dxf>
    <dxf>
      <font>
        <name val="Amasis MT Pro"/>
        <family val="1"/>
      </font>
    </dxf>
    <dxf>
      <font>
        <name val="Amasis MT Pro"/>
        <family val="1"/>
      </font>
    </dxf>
    <dxf>
      <fill>
        <patternFill patternType="none">
          <bgColor auto="1"/>
        </patternFill>
      </fill>
    </dxf>
    <dxf>
      <fill>
        <patternFill patternType="none">
          <bgColor auto="1"/>
        </patternFill>
      </fill>
    </dxf>
    <dxf>
      <numFmt numFmtId="166" formatCode="0.0%"/>
    </dxf>
    <dxf>
      <numFmt numFmtId="167" formatCode="&quot;$&quot;#,##0"/>
    </dxf>
    <dxf>
      <numFmt numFmtId="167" formatCode="&quot;$&quot;#,##0"/>
    </dxf>
    <dxf>
      <font>
        <sz val="12"/>
      </font>
    </dxf>
    <dxf>
      <font>
        <sz val="12"/>
      </font>
    </dxf>
    <dxf>
      <font>
        <sz val="12"/>
      </font>
    </dxf>
    <dxf>
      <alignment horizontal="center"/>
    </dxf>
    <dxf>
      <numFmt numFmtId="168"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name val="Amasis MT Pro"/>
        <family val="1"/>
      </font>
    </dxf>
    <dxf>
      <font>
        <name val="Amasis MT Pro"/>
        <family val="1"/>
      </font>
    </dxf>
    <dxf>
      <font>
        <name val="Amasis MT Pro"/>
        <family val="1"/>
      </font>
    </dxf>
    <dxf>
      <numFmt numFmtId="167" formatCode="&quot;$&quot;#,##0"/>
    </dxf>
    <dxf>
      <font>
        <sz val="12"/>
      </font>
    </dxf>
    <dxf>
      <font>
        <sz val="12"/>
      </font>
    </dxf>
    <dxf>
      <font>
        <sz val="12"/>
      </font>
    </dxf>
    <dxf>
      <font>
        <sz val="12"/>
      </font>
    </dxf>
    <dxf>
      <font>
        <sz val="12"/>
      </font>
    </dxf>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alignment vertical="center"/>
    </dxf>
    <dxf>
      <alignment horizontal="right"/>
    </dxf>
    <dxf>
      <alignment horizontal="right"/>
    </dxf>
    <dxf>
      <numFmt numFmtId="167" formatCode="&quot;$&quot;#,##0"/>
    </dxf>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numFmt numFmtId="167" formatCode="&quot;$&quot;#,##0"/>
    </dxf>
    <dxf>
      <numFmt numFmtId="167" formatCode="&quot;$&quot;#,##0"/>
    </dxf>
    <dxf>
      <alignment vertical="center"/>
    </dxf>
    <dxf>
      <alignment vertical="center"/>
    </dxf>
    <dxf>
      <alignment horizontal="right"/>
    </dxf>
    <dxf>
      <alignment horizontal="right"/>
    </dxf>
    <dxf>
      <alignment horizontal="right"/>
    </dxf>
    <dxf>
      <font>
        <sz val="12"/>
      </font>
    </dxf>
    <dxf>
      <font>
        <name val="Amasis MT Pro"/>
        <family val="1"/>
      </font>
    </dxf>
    <dxf>
      <font>
        <name val="Amasis MT Pro"/>
        <family val="1"/>
      </font>
    </dxf>
    <dxf>
      <font>
        <sz val="12"/>
      </font>
    </dxf>
    <dxf>
      <font>
        <sz val="12"/>
      </font>
    </dxf>
    <dxf>
      <font>
        <sz val="12"/>
      </font>
    </dxf>
    <dxf>
      <font>
        <sz val="12"/>
      </font>
    </dxf>
    <dxf>
      <numFmt numFmtId="166" formatCode="0.0%"/>
    </dxf>
    <dxf>
      <numFmt numFmtId="167" formatCode="&quot;$&quot;#,##0"/>
    </dxf>
    <dxf>
      <numFmt numFmtId="167" formatCode="&quot;$&quot;#,##0"/>
    </dxf>
    <dxf>
      <numFmt numFmtId="166" formatCode="0.0%"/>
    </dxf>
    <dxf>
      <font>
        <sz val="12"/>
      </font>
    </dxf>
    <dxf>
      <font>
        <name val="Amasis MT Pro"/>
        <family val="1"/>
      </font>
    </dxf>
    <dxf>
      <font>
        <name val="Amasis MT Pro"/>
        <family val="1"/>
      </font>
    </dxf>
    <dxf>
      <font>
        <name val="Amasis MT Pro"/>
        <family val="1"/>
      </font>
    </dxf>
    <dxf>
      <numFmt numFmtId="167" formatCode="&quot;$&quot;#,##0"/>
    </dxf>
    <dxf>
      <font>
        <sz val="12"/>
      </font>
    </dxf>
    <dxf>
      <font>
        <sz val="12"/>
      </font>
    </dxf>
    <dxf>
      <font>
        <sz val="12"/>
      </font>
    </dxf>
    <dxf>
      <font>
        <sz val="12"/>
      </font>
    </dxf>
    <dxf>
      <font>
        <sz val="12"/>
      </font>
    </dxf>
    <dxf>
      <numFmt numFmtId="168" formatCode="_(* #,##0_);_(* \(#,##0\);_(* &quot;-&quot;??_);_(@_)"/>
    </dxf>
    <dxf>
      <font>
        <sz val="12"/>
      </font>
    </dxf>
    <dxf>
      <font>
        <name val="Amasis MT Pro"/>
        <family val="1"/>
      </font>
    </dxf>
    <dxf>
      <font>
        <name val="Amasis MT Pro"/>
        <family val="1"/>
      </font>
    </dxf>
    <dxf>
      <font>
        <name val="Amasis MT Pro"/>
        <family val="1"/>
      </font>
    </dxf>
    <dxf>
      <numFmt numFmtId="167" formatCode="&quot;$&quot;#,##0"/>
    </dxf>
    <dxf>
      <numFmt numFmtId="167" formatCode="&quot;$&quot;#,##0"/>
    </dxf>
    <dxf>
      <font>
        <sz val="12"/>
      </font>
    </dxf>
    <dxf>
      <font>
        <sz val="12"/>
      </font>
    </dxf>
    <dxf>
      <font>
        <sz val="12"/>
      </font>
    </dxf>
    <dxf>
      <font>
        <sz val="12"/>
      </font>
    </dxf>
    <dxf>
      <font>
        <sz val="12"/>
      </font>
    </dxf>
    <dxf>
      <font>
        <sz val="12"/>
      </font>
    </dxf>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numFmt numFmtId="167" formatCode="&quot;$&quot;#,##0"/>
    </dxf>
    <dxf>
      <numFmt numFmtId="167" formatCode="&quot;$&quot;#,##0"/>
    </dxf>
    <dxf>
      <numFmt numFmtId="167" formatCode="&quot;$&quot;#,##0"/>
    </dxf>
    <dxf>
      <numFmt numFmtId="167" formatCode="&quot;$&quot;#,##0"/>
    </dxf>
    <dxf>
      <numFmt numFmtId="0" formatCode="General"/>
    </dxf>
    <dxf>
      <font>
        <b/>
        <color rgb="FFFF0000"/>
      </font>
    </dxf>
    <dxf>
      <font>
        <b/>
        <color rgb="FFFF0000"/>
      </font>
    </dxf>
    <dxf>
      <font>
        <b/>
        <color rgb="FFFF0000"/>
      </font>
    </dxf>
    <dxf>
      <font>
        <b/>
        <color rgb="FFFF0000"/>
      </font>
    </dxf>
    <dxf>
      <font>
        <b/>
        <color rgb="FFFF0000"/>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auto="1"/>
      </font>
    </dxf>
    <dxf>
      <font>
        <b val="0"/>
      </font>
    </dxf>
    <dxf>
      <font>
        <color auto="1"/>
      </font>
    </dxf>
    <dxf>
      <font>
        <b val="0"/>
      </font>
    </dxf>
    <dxf>
      <font>
        <color rgb="FFFF0000"/>
      </font>
    </dxf>
    <dxf>
      <font>
        <b/>
      </font>
    </dxf>
    <dxf>
      <alignment horizontal="right"/>
    </dxf>
    <dxf>
      <font>
        <b/>
        <color rgb="FFFF0000"/>
      </font>
    </dxf>
    <dxf>
      <font>
        <b/>
        <color rgb="FFFF0000"/>
      </font>
    </dxf>
    <dxf>
      <font>
        <sz val="12"/>
      </font>
    </dxf>
    <dxf>
      <font>
        <name val="Amasis MT Pro"/>
        <family val="1"/>
      </font>
    </dxf>
    <dxf>
      <font>
        <name val="Amasis MT Pro"/>
        <family val="1"/>
      </font>
    </dxf>
    <dxf>
      <font>
        <name val="Amasis MT Pro"/>
        <family val="1"/>
      </font>
    </dxf>
    <dxf>
      <numFmt numFmtId="167" formatCode="&quot;$&quot;#,##0"/>
    </dxf>
    <dxf>
      <font>
        <sz val="12"/>
      </font>
    </dxf>
    <dxf>
      <font>
        <sz val="12"/>
      </font>
    </dxf>
    <dxf>
      <font>
        <sz val="12"/>
      </font>
    </dxf>
    <dxf>
      <font>
        <sz val="12"/>
      </font>
    </dxf>
    <dxf>
      <font>
        <sz val="12"/>
      </font>
    </dxf>
    <dxf>
      <numFmt numFmtId="167" formatCode="&quot;$&quot;#,##0"/>
    </dxf>
    <dxf>
      <alignment horizontal="right"/>
    </dxf>
    <dxf>
      <numFmt numFmtId="167" formatCode="&quot;$&quot;#,##0"/>
    </dxf>
    <dxf>
      <font>
        <sz val="12"/>
      </font>
    </dxf>
    <dxf>
      <font>
        <sz val="12"/>
      </font>
    </dxf>
    <dxf>
      <font>
        <name val="Amasis MT Pro"/>
        <family val="1"/>
      </font>
    </dxf>
    <dxf>
      <font>
        <name val="Amasis MT Pro"/>
        <family val="1"/>
      </font>
    </dxf>
    <dxf>
      <font>
        <name val="Amasis MT Pro"/>
        <family val="1"/>
      </font>
    </dxf>
    <dxf>
      <fill>
        <patternFill patternType="none">
          <bgColor auto="1"/>
        </patternFill>
      </fill>
    </dxf>
    <dxf>
      <fill>
        <patternFill patternType="none">
          <bgColor auto="1"/>
        </patternFill>
      </fill>
    </dxf>
    <dxf>
      <numFmt numFmtId="166" formatCode="0.0%"/>
    </dxf>
    <dxf>
      <numFmt numFmtId="167" formatCode="&quot;$&quot;#,##0"/>
    </dxf>
    <dxf>
      <numFmt numFmtId="167" formatCode="&quot;$&quot;#,##0"/>
    </dxf>
    <dxf>
      <font>
        <sz val="12"/>
      </font>
    </dxf>
    <dxf>
      <font>
        <sz val="12"/>
      </font>
    </dxf>
    <dxf>
      <font>
        <sz val="12"/>
      </font>
    </dxf>
    <dxf>
      <alignment horizontal="center"/>
    </dxf>
    <dxf>
      <numFmt numFmtId="168"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name val="Amasis MT Pro"/>
        <family val="1"/>
      </font>
    </dxf>
    <dxf>
      <font>
        <name val="Amasis MT Pro"/>
        <family val="1"/>
      </font>
    </dxf>
    <dxf>
      <font>
        <name val="Amasis MT Pro"/>
        <family val="1"/>
      </font>
    </dxf>
    <dxf>
      <numFmt numFmtId="167" formatCode="&quot;$&quot;#,##0"/>
    </dxf>
    <dxf>
      <font>
        <sz val="12"/>
      </font>
    </dxf>
    <dxf>
      <font>
        <sz val="12"/>
      </font>
    </dxf>
    <dxf>
      <font>
        <sz val="12"/>
      </font>
    </dxf>
    <dxf>
      <font>
        <sz val="12"/>
      </font>
    </dxf>
    <dxf>
      <font>
        <sz val="12"/>
      </font>
    </dxf>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alignment vertical="center"/>
    </dxf>
    <dxf>
      <alignment horizontal="right"/>
    </dxf>
    <dxf>
      <alignment horizontal="right"/>
    </dxf>
    <dxf>
      <numFmt numFmtId="167" formatCode="&quot;$&quot;#,##0"/>
    </dxf>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numFmt numFmtId="167" formatCode="&quot;$&quot;#,##0"/>
    </dxf>
    <dxf>
      <numFmt numFmtId="167" formatCode="&quot;$&quot;#,##0"/>
    </dxf>
    <dxf>
      <alignment vertical="center"/>
    </dxf>
    <dxf>
      <alignment vertical="center"/>
    </dxf>
    <dxf>
      <alignment horizontal="right"/>
    </dxf>
    <dxf>
      <alignment horizontal="right"/>
    </dxf>
    <dxf>
      <alignment horizontal="right"/>
    </dxf>
    <dxf>
      <font>
        <sz val="12"/>
      </font>
    </dxf>
    <dxf>
      <font>
        <name val="Amasis MT Pro"/>
        <family val="1"/>
      </font>
    </dxf>
    <dxf>
      <font>
        <name val="Amasis MT Pro"/>
        <family val="1"/>
      </font>
    </dxf>
    <dxf>
      <font>
        <sz val="12"/>
      </font>
    </dxf>
    <dxf>
      <font>
        <sz val="12"/>
      </font>
    </dxf>
    <dxf>
      <font>
        <sz val="12"/>
      </font>
    </dxf>
    <dxf>
      <font>
        <sz val="12"/>
      </font>
    </dxf>
    <dxf>
      <numFmt numFmtId="166" formatCode="0.0%"/>
    </dxf>
    <dxf>
      <numFmt numFmtId="167" formatCode="&quot;$&quot;#,##0"/>
    </dxf>
    <dxf>
      <numFmt numFmtId="167" formatCode="&quot;$&quot;#,##0"/>
    </dxf>
    <dxf>
      <numFmt numFmtId="166" formatCode="0.0%"/>
    </dxf>
    <dxf>
      <font>
        <sz val="12"/>
      </font>
    </dxf>
    <dxf>
      <font>
        <name val="Amasis MT Pro"/>
        <family val="1"/>
      </font>
    </dxf>
    <dxf>
      <font>
        <name val="Amasis MT Pro"/>
        <family val="1"/>
      </font>
    </dxf>
    <dxf>
      <font>
        <name val="Amasis MT Pro"/>
        <family val="1"/>
      </font>
    </dxf>
    <dxf>
      <numFmt numFmtId="167" formatCode="&quot;$&quot;#,##0"/>
    </dxf>
    <dxf>
      <font>
        <sz val="12"/>
      </font>
    </dxf>
    <dxf>
      <font>
        <sz val="12"/>
      </font>
    </dxf>
    <dxf>
      <font>
        <sz val="12"/>
      </font>
    </dxf>
    <dxf>
      <font>
        <sz val="12"/>
      </font>
    </dxf>
    <dxf>
      <font>
        <sz val="12"/>
      </font>
    </dxf>
    <dxf>
      <numFmt numFmtId="168" formatCode="_(* #,##0_);_(* \(#,##0\);_(* &quot;-&quot;??_);_(@_)"/>
    </dxf>
    <dxf>
      <font>
        <sz val="12"/>
      </font>
    </dxf>
    <dxf>
      <font>
        <name val="Amasis MT Pro"/>
        <family val="1"/>
      </font>
    </dxf>
    <dxf>
      <font>
        <name val="Amasis MT Pro"/>
        <family val="1"/>
      </font>
    </dxf>
    <dxf>
      <font>
        <name val="Amasis MT Pro"/>
        <family val="1"/>
      </font>
    </dxf>
    <dxf>
      <numFmt numFmtId="167" formatCode="&quot;$&quot;#,##0"/>
    </dxf>
    <dxf>
      <numFmt numFmtId="167" formatCode="&quot;$&quot;#,##0"/>
    </dxf>
    <dxf>
      <font>
        <sz val="12"/>
      </font>
    </dxf>
    <dxf>
      <font>
        <sz val="12"/>
      </font>
    </dxf>
    <dxf>
      <font>
        <sz val="12"/>
      </font>
    </dxf>
    <dxf>
      <font>
        <sz val="12"/>
      </font>
    </dxf>
    <dxf>
      <font>
        <sz val="12"/>
      </font>
    </dxf>
    <dxf>
      <font>
        <sz val="12"/>
      </font>
    </dxf>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numFmt numFmtId="167" formatCode="&quot;$&quot;#,##0"/>
    </dxf>
    <dxf>
      <numFmt numFmtId="167" formatCode="&quot;$&quot;#,##0"/>
    </dxf>
    <dxf>
      <numFmt numFmtId="167" formatCode="&quot;$&quot;#,##0"/>
    </dxf>
    <dxf>
      <numFmt numFmtId="167" formatCode="&quot;$&quot;#,##0"/>
    </dxf>
    <dxf>
      <numFmt numFmtId="0" formatCode="General"/>
    </dxf>
    <dxf>
      <font>
        <b/>
        <color rgb="FFFF0000"/>
      </font>
    </dxf>
    <dxf>
      <font>
        <b/>
        <color rgb="FFFF0000"/>
      </font>
    </dxf>
    <dxf>
      <font>
        <b/>
        <color rgb="FFFF0000"/>
      </font>
    </dxf>
    <dxf>
      <font>
        <b/>
        <color rgb="FFFF0000"/>
      </font>
    </dxf>
    <dxf>
      <font>
        <b/>
        <color rgb="FFFF0000"/>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auto="1"/>
      </font>
    </dxf>
    <dxf>
      <font>
        <b val="0"/>
      </font>
    </dxf>
    <dxf>
      <font>
        <color auto="1"/>
      </font>
    </dxf>
    <dxf>
      <font>
        <b val="0"/>
      </font>
    </dxf>
    <dxf>
      <font>
        <color rgb="FFFF0000"/>
      </font>
    </dxf>
    <dxf>
      <font>
        <b/>
      </font>
    </dxf>
    <dxf>
      <alignment horizontal="right"/>
    </dxf>
    <dxf>
      <font>
        <b/>
        <color rgb="FFFF0000"/>
      </font>
    </dxf>
    <dxf>
      <font>
        <b/>
        <color rgb="FFFF0000"/>
      </font>
    </dxf>
    <dxf>
      <font>
        <sz val="12"/>
      </font>
    </dxf>
    <dxf>
      <font>
        <name val="Amasis MT Pro"/>
        <family val="1"/>
      </font>
    </dxf>
    <dxf>
      <font>
        <name val="Amasis MT Pro"/>
        <family val="1"/>
      </font>
    </dxf>
    <dxf>
      <font>
        <name val="Amasis MT Pro"/>
        <family val="1"/>
      </font>
    </dxf>
    <dxf>
      <numFmt numFmtId="167" formatCode="&quot;$&quot;#,##0"/>
    </dxf>
    <dxf>
      <font>
        <sz val="12"/>
      </font>
    </dxf>
    <dxf>
      <font>
        <sz val="12"/>
      </font>
    </dxf>
    <dxf>
      <font>
        <sz val="12"/>
      </font>
    </dxf>
    <dxf>
      <font>
        <sz val="12"/>
      </font>
    </dxf>
    <dxf>
      <font>
        <sz val="12"/>
      </font>
    </dxf>
    <dxf>
      <numFmt numFmtId="167" formatCode="&quot;$&quot;#,##0"/>
    </dxf>
    <dxf>
      <alignment horizontal="right"/>
    </dxf>
    <dxf>
      <numFmt numFmtId="167" formatCode="&quot;$&quot;#,##0"/>
    </dxf>
    <dxf>
      <font>
        <sz val="12"/>
      </font>
    </dxf>
    <dxf>
      <font>
        <sz val="12"/>
      </font>
    </dxf>
    <dxf>
      <font>
        <name val="Amasis MT Pro"/>
        <family val="1"/>
      </font>
    </dxf>
    <dxf>
      <font>
        <name val="Amasis MT Pro"/>
        <family val="1"/>
      </font>
    </dxf>
    <dxf>
      <font>
        <name val="Amasis MT Pro"/>
        <family val="1"/>
      </font>
    </dxf>
    <dxf>
      <fill>
        <patternFill patternType="none">
          <bgColor auto="1"/>
        </patternFill>
      </fill>
    </dxf>
    <dxf>
      <fill>
        <patternFill patternType="none">
          <bgColor auto="1"/>
        </patternFill>
      </fill>
    </dxf>
    <dxf>
      <numFmt numFmtId="166" formatCode="0.0%"/>
    </dxf>
    <dxf>
      <numFmt numFmtId="167" formatCode="&quot;$&quot;#,##0"/>
    </dxf>
    <dxf>
      <numFmt numFmtId="167" formatCode="&quot;$&quot;#,##0"/>
    </dxf>
    <dxf>
      <font>
        <sz val="12"/>
      </font>
    </dxf>
    <dxf>
      <font>
        <sz val="12"/>
      </font>
    </dxf>
    <dxf>
      <font>
        <sz val="12"/>
      </font>
    </dxf>
    <dxf>
      <alignment horizontal="center"/>
    </dxf>
    <dxf>
      <numFmt numFmtId="168"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name val="Amasis MT Pro"/>
        <family val="1"/>
      </font>
    </dxf>
    <dxf>
      <font>
        <name val="Amasis MT Pro"/>
        <family val="1"/>
      </font>
    </dxf>
    <dxf>
      <font>
        <name val="Amasis MT Pro"/>
        <family val="1"/>
      </font>
    </dxf>
    <dxf>
      <numFmt numFmtId="167" formatCode="&quot;$&quot;#,##0"/>
    </dxf>
    <dxf>
      <font>
        <sz val="12"/>
      </font>
    </dxf>
    <dxf>
      <font>
        <sz val="12"/>
      </font>
    </dxf>
    <dxf>
      <font>
        <sz val="12"/>
      </font>
    </dxf>
    <dxf>
      <font>
        <sz val="12"/>
      </font>
    </dxf>
    <dxf>
      <font>
        <sz val="12"/>
      </font>
    </dxf>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alignment vertical="center"/>
    </dxf>
    <dxf>
      <alignment horizontal="right"/>
    </dxf>
    <dxf>
      <alignment horizontal="right"/>
    </dxf>
    <dxf>
      <numFmt numFmtId="167" formatCode="&quot;$&quot;#,##0"/>
    </dxf>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numFmt numFmtId="167" formatCode="&quot;$&quot;#,##0"/>
    </dxf>
    <dxf>
      <numFmt numFmtId="167" formatCode="&quot;$&quot;#,##0"/>
    </dxf>
    <dxf>
      <alignment vertical="center"/>
    </dxf>
    <dxf>
      <alignment vertical="center"/>
    </dxf>
    <dxf>
      <alignment horizontal="right"/>
    </dxf>
    <dxf>
      <alignment horizontal="right"/>
    </dxf>
    <dxf>
      <alignment horizontal="right"/>
    </dxf>
    <dxf>
      <font>
        <sz val="12"/>
      </font>
    </dxf>
    <dxf>
      <font>
        <name val="Amasis MT Pro"/>
        <family val="1"/>
      </font>
    </dxf>
    <dxf>
      <font>
        <name val="Amasis MT Pro"/>
        <family val="1"/>
      </font>
    </dxf>
    <dxf>
      <font>
        <sz val="12"/>
      </font>
    </dxf>
    <dxf>
      <font>
        <sz val="12"/>
      </font>
    </dxf>
    <dxf>
      <font>
        <sz val="12"/>
      </font>
    </dxf>
    <dxf>
      <font>
        <sz val="12"/>
      </font>
    </dxf>
    <dxf>
      <numFmt numFmtId="166" formatCode="0.0%"/>
    </dxf>
    <dxf>
      <numFmt numFmtId="167" formatCode="&quot;$&quot;#,##0"/>
    </dxf>
    <dxf>
      <numFmt numFmtId="167" formatCode="&quot;$&quot;#,##0"/>
    </dxf>
    <dxf>
      <numFmt numFmtId="166" formatCode="0.0%"/>
    </dxf>
    <dxf>
      <font>
        <sz val="12"/>
      </font>
    </dxf>
    <dxf>
      <font>
        <name val="Amasis MT Pro"/>
        <family val="1"/>
      </font>
    </dxf>
    <dxf>
      <font>
        <name val="Amasis MT Pro"/>
        <family val="1"/>
      </font>
    </dxf>
    <dxf>
      <font>
        <name val="Amasis MT Pro"/>
        <family val="1"/>
      </font>
    </dxf>
    <dxf>
      <numFmt numFmtId="167" formatCode="&quot;$&quot;#,##0"/>
    </dxf>
    <dxf>
      <font>
        <sz val="12"/>
      </font>
    </dxf>
    <dxf>
      <font>
        <sz val="12"/>
      </font>
    </dxf>
    <dxf>
      <font>
        <sz val="12"/>
      </font>
    </dxf>
    <dxf>
      <font>
        <sz val="12"/>
      </font>
    </dxf>
    <dxf>
      <font>
        <sz val="12"/>
      </font>
    </dxf>
    <dxf>
      <numFmt numFmtId="168" formatCode="_(* #,##0_);_(* \(#,##0\);_(* &quot;-&quot;??_);_(@_)"/>
    </dxf>
    <dxf>
      <font>
        <sz val="12"/>
      </font>
    </dxf>
    <dxf>
      <font>
        <name val="Amasis MT Pro"/>
        <family val="1"/>
      </font>
    </dxf>
    <dxf>
      <font>
        <name val="Amasis MT Pro"/>
        <family val="1"/>
      </font>
    </dxf>
    <dxf>
      <font>
        <name val="Amasis MT Pro"/>
        <family val="1"/>
      </font>
    </dxf>
    <dxf>
      <numFmt numFmtId="167" formatCode="&quot;$&quot;#,##0"/>
    </dxf>
    <dxf>
      <numFmt numFmtId="167" formatCode="&quot;$&quot;#,##0"/>
    </dxf>
    <dxf>
      <font>
        <sz val="12"/>
      </font>
    </dxf>
    <dxf>
      <font>
        <sz val="12"/>
      </font>
    </dxf>
    <dxf>
      <font>
        <sz val="12"/>
      </font>
    </dxf>
    <dxf>
      <font>
        <sz val="12"/>
      </font>
    </dxf>
    <dxf>
      <font>
        <sz val="12"/>
      </font>
    </dxf>
    <dxf>
      <font>
        <sz val="12"/>
      </font>
    </dxf>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numFmt numFmtId="167" formatCode="&quot;$&quot;#,##0"/>
    </dxf>
    <dxf>
      <numFmt numFmtId="167" formatCode="&quot;$&quot;#,##0"/>
    </dxf>
    <dxf>
      <numFmt numFmtId="167" formatCode="&quot;$&quot;#,##0"/>
    </dxf>
    <dxf>
      <numFmt numFmtId="167" formatCode="&quot;$&quot;#,##0"/>
    </dxf>
    <dxf>
      <numFmt numFmtId="0" formatCode="General"/>
    </dxf>
    <dxf>
      <font>
        <b/>
        <color rgb="FFFF0000"/>
      </font>
    </dxf>
    <dxf>
      <font>
        <b/>
        <color rgb="FFFF0000"/>
      </font>
    </dxf>
    <dxf>
      <font>
        <b/>
        <color rgb="FFFF0000"/>
      </font>
    </dxf>
    <dxf>
      <font>
        <b/>
        <color rgb="FFFF0000"/>
      </font>
    </dxf>
    <dxf>
      <font>
        <b/>
        <color rgb="FFFF0000"/>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auto="1"/>
      </font>
    </dxf>
    <dxf>
      <font>
        <b val="0"/>
      </font>
    </dxf>
    <dxf>
      <font>
        <color auto="1"/>
      </font>
    </dxf>
    <dxf>
      <font>
        <b val="0"/>
      </font>
    </dxf>
    <dxf>
      <font>
        <color rgb="FFFF0000"/>
      </font>
    </dxf>
    <dxf>
      <font>
        <b/>
      </font>
    </dxf>
    <dxf>
      <alignment horizontal="right"/>
    </dxf>
    <dxf>
      <font>
        <b/>
        <color rgb="FFFF0000"/>
      </font>
    </dxf>
    <dxf>
      <font>
        <b/>
        <color rgb="FFFF0000"/>
      </font>
    </dxf>
    <dxf>
      <font>
        <sz val="12"/>
      </font>
    </dxf>
    <dxf>
      <font>
        <name val="Amasis MT Pro"/>
        <family val="1"/>
      </font>
    </dxf>
    <dxf>
      <font>
        <name val="Amasis MT Pro"/>
        <family val="1"/>
      </font>
    </dxf>
    <dxf>
      <font>
        <name val="Amasis MT Pro"/>
        <family val="1"/>
      </font>
    </dxf>
    <dxf>
      <numFmt numFmtId="167" formatCode="&quot;$&quot;#,##0"/>
    </dxf>
    <dxf>
      <font>
        <sz val="12"/>
      </font>
    </dxf>
    <dxf>
      <font>
        <sz val="12"/>
      </font>
    </dxf>
    <dxf>
      <font>
        <sz val="12"/>
      </font>
    </dxf>
    <dxf>
      <font>
        <sz val="12"/>
      </font>
    </dxf>
    <dxf>
      <font>
        <sz val="12"/>
      </font>
    </dxf>
    <dxf>
      <numFmt numFmtId="167" formatCode="&quot;$&quot;#,##0"/>
    </dxf>
    <dxf>
      <alignment horizontal="right"/>
    </dxf>
    <dxf>
      <numFmt numFmtId="167" formatCode="&quot;$&quot;#,##0"/>
    </dxf>
    <dxf>
      <font>
        <sz val="12"/>
      </font>
    </dxf>
    <dxf>
      <font>
        <sz val="12"/>
      </font>
    </dxf>
    <dxf>
      <font>
        <name val="Amasis MT Pro"/>
        <family val="1"/>
      </font>
    </dxf>
    <dxf>
      <font>
        <name val="Amasis MT Pro"/>
        <family val="1"/>
      </font>
    </dxf>
    <dxf>
      <font>
        <name val="Amasis MT Pro"/>
        <family val="1"/>
      </font>
    </dxf>
    <dxf>
      <fill>
        <patternFill patternType="none">
          <bgColor auto="1"/>
        </patternFill>
      </fill>
    </dxf>
    <dxf>
      <fill>
        <patternFill patternType="none">
          <bgColor auto="1"/>
        </patternFill>
      </fill>
    </dxf>
    <dxf>
      <numFmt numFmtId="166" formatCode="0.0%"/>
    </dxf>
    <dxf>
      <numFmt numFmtId="167" formatCode="&quot;$&quot;#,##0"/>
    </dxf>
    <dxf>
      <numFmt numFmtId="167" formatCode="&quot;$&quot;#,##0"/>
    </dxf>
    <dxf>
      <font>
        <sz val="12"/>
      </font>
    </dxf>
    <dxf>
      <font>
        <sz val="12"/>
      </font>
    </dxf>
    <dxf>
      <font>
        <sz val="12"/>
      </font>
    </dxf>
    <dxf>
      <alignment horizontal="center"/>
    </dxf>
    <dxf>
      <numFmt numFmtId="168"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name val="Amasis MT Pro"/>
        <family val="1"/>
      </font>
    </dxf>
    <dxf>
      <font>
        <name val="Amasis MT Pro"/>
        <family val="1"/>
      </font>
    </dxf>
    <dxf>
      <font>
        <name val="Amasis MT Pro"/>
        <family val="1"/>
      </font>
    </dxf>
    <dxf>
      <numFmt numFmtId="167" formatCode="&quot;$&quot;#,##0"/>
    </dxf>
    <dxf>
      <font>
        <sz val="12"/>
      </font>
    </dxf>
    <dxf>
      <font>
        <sz val="12"/>
      </font>
    </dxf>
    <dxf>
      <font>
        <sz val="12"/>
      </font>
    </dxf>
    <dxf>
      <font>
        <sz val="12"/>
      </font>
    </dxf>
    <dxf>
      <font>
        <sz val="12"/>
      </font>
    </dxf>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alignment vertical="center"/>
    </dxf>
    <dxf>
      <alignment horizontal="right"/>
    </dxf>
    <dxf>
      <alignment horizontal="right"/>
    </dxf>
    <dxf>
      <numFmt numFmtId="167" formatCode="&quot;$&quot;#,##0"/>
    </dxf>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numFmt numFmtId="167" formatCode="&quot;$&quot;#,##0"/>
    </dxf>
    <dxf>
      <numFmt numFmtId="167" formatCode="&quot;$&quot;#,##0"/>
    </dxf>
    <dxf>
      <alignment vertical="center"/>
    </dxf>
    <dxf>
      <alignment vertical="center"/>
    </dxf>
    <dxf>
      <alignment horizontal="right"/>
    </dxf>
    <dxf>
      <alignment horizontal="right"/>
    </dxf>
    <dxf>
      <alignment horizontal="right"/>
    </dxf>
    <dxf>
      <font>
        <sz val="12"/>
      </font>
    </dxf>
    <dxf>
      <font>
        <name val="Amasis MT Pro"/>
        <family val="1"/>
      </font>
    </dxf>
    <dxf>
      <font>
        <name val="Amasis MT Pro"/>
        <family val="1"/>
      </font>
    </dxf>
    <dxf>
      <font>
        <sz val="12"/>
      </font>
    </dxf>
    <dxf>
      <font>
        <sz val="12"/>
      </font>
    </dxf>
    <dxf>
      <font>
        <sz val="12"/>
      </font>
    </dxf>
    <dxf>
      <font>
        <sz val="12"/>
      </font>
    </dxf>
    <dxf>
      <numFmt numFmtId="166" formatCode="0.0%"/>
    </dxf>
    <dxf>
      <numFmt numFmtId="167" formatCode="&quot;$&quot;#,##0"/>
    </dxf>
    <dxf>
      <numFmt numFmtId="167" formatCode="&quot;$&quot;#,##0"/>
    </dxf>
    <dxf>
      <numFmt numFmtId="166" formatCode="0.0%"/>
    </dxf>
    <dxf>
      <font>
        <sz val="12"/>
      </font>
    </dxf>
    <dxf>
      <font>
        <name val="Amasis MT Pro"/>
        <family val="1"/>
      </font>
    </dxf>
    <dxf>
      <font>
        <name val="Amasis MT Pro"/>
        <family val="1"/>
      </font>
    </dxf>
    <dxf>
      <font>
        <name val="Amasis MT Pro"/>
        <family val="1"/>
      </font>
    </dxf>
    <dxf>
      <numFmt numFmtId="167" formatCode="&quot;$&quot;#,##0"/>
    </dxf>
    <dxf>
      <font>
        <sz val="12"/>
      </font>
    </dxf>
    <dxf>
      <font>
        <sz val="12"/>
      </font>
    </dxf>
    <dxf>
      <font>
        <sz val="12"/>
      </font>
    </dxf>
    <dxf>
      <font>
        <sz val="12"/>
      </font>
    </dxf>
    <dxf>
      <font>
        <sz val="12"/>
      </font>
    </dxf>
    <dxf>
      <numFmt numFmtId="168" formatCode="_(* #,##0_);_(* \(#,##0\);_(* &quot;-&quot;??_);_(@_)"/>
    </dxf>
    <dxf>
      <font>
        <sz val="12"/>
      </font>
    </dxf>
    <dxf>
      <font>
        <name val="Amasis MT Pro"/>
        <family val="1"/>
      </font>
    </dxf>
    <dxf>
      <font>
        <name val="Amasis MT Pro"/>
        <family val="1"/>
      </font>
    </dxf>
    <dxf>
      <font>
        <name val="Amasis MT Pro"/>
        <family val="1"/>
      </font>
    </dxf>
    <dxf>
      <numFmt numFmtId="167" formatCode="&quot;$&quot;#,##0"/>
    </dxf>
    <dxf>
      <numFmt numFmtId="167" formatCode="&quot;$&quot;#,##0"/>
    </dxf>
    <dxf>
      <font>
        <sz val="12"/>
      </font>
    </dxf>
    <dxf>
      <font>
        <sz val="12"/>
      </font>
    </dxf>
    <dxf>
      <font>
        <sz val="12"/>
      </font>
    </dxf>
    <dxf>
      <font>
        <sz val="12"/>
      </font>
    </dxf>
    <dxf>
      <font>
        <sz val="12"/>
      </font>
    </dxf>
    <dxf>
      <font>
        <sz val="12"/>
      </font>
    </dxf>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numFmt numFmtId="167" formatCode="&quot;$&quot;#,##0"/>
    </dxf>
    <dxf>
      <numFmt numFmtId="167" formatCode="&quot;$&quot;#,##0"/>
    </dxf>
    <dxf>
      <numFmt numFmtId="167" formatCode="&quot;$&quot;#,##0"/>
    </dxf>
    <dxf>
      <numFmt numFmtId="167" formatCode="&quot;$&quot;#,##0"/>
    </dxf>
    <dxf>
      <numFmt numFmtId="0" formatCode="General"/>
    </dxf>
    <dxf>
      <font>
        <b/>
        <color rgb="FFFF0000"/>
      </font>
    </dxf>
    <dxf>
      <font>
        <b/>
        <color rgb="FFFF0000"/>
      </font>
    </dxf>
    <dxf>
      <font>
        <b/>
        <color rgb="FFFF0000"/>
      </font>
    </dxf>
    <dxf>
      <font>
        <b/>
        <color rgb="FFFF0000"/>
      </font>
    </dxf>
    <dxf>
      <font>
        <b/>
        <color rgb="FFFF0000"/>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auto="1"/>
      </font>
    </dxf>
    <dxf>
      <font>
        <b val="0"/>
      </font>
    </dxf>
    <dxf>
      <font>
        <color auto="1"/>
      </font>
    </dxf>
    <dxf>
      <font>
        <b val="0"/>
      </font>
    </dxf>
    <dxf>
      <font>
        <color rgb="FFFF0000"/>
      </font>
    </dxf>
    <dxf>
      <font>
        <b/>
      </font>
    </dxf>
    <dxf>
      <alignment horizontal="right"/>
    </dxf>
    <dxf>
      <font>
        <b/>
        <color rgb="FFFF0000"/>
      </font>
    </dxf>
    <dxf>
      <font>
        <b/>
        <color rgb="FFFF0000"/>
      </font>
    </dxf>
    <dxf>
      <font>
        <sz val="12"/>
      </font>
    </dxf>
    <dxf>
      <font>
        <name val="Amasis MT Pro"/>
        <family val="1"/>
      </font>
    </dxf>
    <dxf>
      <font>
        <name val="Amasis MT Pro"/>
        <family val="1"/>
      </font>
    </dxf>
    <dxf>
      <font>
        <name val="Amasis MT Pro"/>
        <family val="1"/>
      </font>
    </dxf>
    <dxf>
      <numFmt numFmtId="167" formatCode="&quot;$&quot;#,##0"/>
    </dxf>
    <dxf>
      <font>
        <sz val="12"/>
      </font>
    </dxf>
    <dxf>
      <font>
        <sz val="12"/>
      </font>
    </dxf>
    <dxf>
      <font>
        <sz val="12"/>
      </font>
    </dxf>
    <dxf>
      <font>
        <sz val="12"/>
      </font>
    </dxf>
    <dxf>
      <font>
        <sz val="12"/>
      </font>
    </dxf>
    <dxf>
      <numFmt numFmtId="167" formatCode="&quot;$&quot;#,##0"/>
    </dxf>
    <dxf>
      <alignment horizontal="right"/>
    </dxf>
    <dxf>
      <numFmt numFmtId="167" formatCode="&quot;$&quot;#,##0"/>
    </dxf>
    <dxf>
      <font>
        <sz val="12"/>
      </font>
    </dxf>
    <dxf>
      <font>
        <sz val="12"/>
      </font>
    </dxf>
    <dxf>
      <font>
        <name val="Amasis MT Pro"/>
        <family val="1"/>
      </font>
    </dxf>
    <dxf>
      <font>
        <name val="Amasis MT Pro"/>
        <family val="1"/>
      </font>
    </dxf>
    <dxf>
      <font>
        <name val="Amasis MT Pro"/>
        <family val="1"/>
      </font>
    </dxf>
    <dxf>
      <fill>
        <patternFill patternType="none">
          <bgColor auto="1"/>
        </patternFill>
      </fill>
    </dxf>
    <dxf>
      <fill>
        <patternFill patternType="none">
          <bgColor auto="1"/>
        </patternFill>
      </fill>
    </dxf>
    <dxf>
      <numFmt numFmtId="166" formatCode="0.0%"/>
    </dxf>
    <dxf>
      <numFmt numFmtId="167" formatCode="&quot;$&quot;#,##0"/>
    </dxf>
    <dxf>
      <numFmt numFmtId="167" formatCode="&quot;$&quot;#,##0"/>
    </dxf>
    <dxf>
      <font>
        <sz val="12"/>
      </font>
    </dxf>
    <dxf>
      <font>
        <sz val="12"/>
      </font>
    </dxf>
    <dxf>
      <font>
        <sz val="12"/>
      </font>
    </dxf>
    <dxf>
      <alignment horizontal="center"/>
    </dxf>
    <dxf>
      <numFmt numFmtId="168"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name val="Amasis MT Pro"/>
        <family val="1"/>
      </font>
    </dxf>
    <dxf>
      <font>
        <name val="Amasis MT Pro"/>
        <family val="1"/>
      </font>
    </dxf>
    <dxf>
      <font>
        <name val="Amasis MT Pro"/>
        <family val="1"/>
      </font>
    </dxf>
    <dxf>
      <numFmt numFmtId="167" formatCode="&quot;$&quot;#,##0"/>
    </dxf>
    <dxf>
      <font>
        <sz val="12"/>
      </font>
    </dxf>
    <dxf>
      <font>
        <sz val="12"/>
      </font>
    </dxf>
    <dxf>
      <font>
        <sz val="12"/>
      </font>
    </dxf>
    <dxf>
      <font>
        <sz val="12"/>
      </font>
    </dxf>
    <dxf>
      <font>
        <sz val="12"/>
      </font>
    </dxf>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alignment vertical="center"/>
    </dxf>
    <dxf>
      <alignment horizontal="right"/>
    </dxf>
    <dxf>
      <alignment horizontal="right"/>
    </dxf>
    <dxf>
      <numFmt numFmtId="167" formatCode="&quot;$&quot;#,##0"/>
    </dxf>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numFmt numFmtId="167" formatCode="&quot;$&quot;#,##0"/>
    </dxf>
    <dxf>
      <numFmt numFmtId="167" formatCode="&quot;$&quot;#,##0"/>
    </dxf>
    <dxf>
      <alignment vertical="center"/>
    </dxf>
    <dxf>
      <alignment vertical="center"/>
    </dxf>
    <dxf>
      <alignment horizontal="right"/>
    </dxf>
    <dxf>
      <alignment horizontal="right"/>
    </dxf>
    <dxf>
      <alignment horizontal="right"/>
    </dxf>
    <dxf>
      <font>
        <sz val="12"/>
      </font>
    </dxf>
    <dxf>
      <font>
        <name val="Amasis MT Pro"/>
        <family val="1"/>
      </font>
    </dxf>
    <dxf>
      <font>
        <name val="Amasis MT Pro"/>
        <family val="1"/>
      </font>
    </dxf>
    <dxf>
      <font>
        <sz val="12"/>
      </font>
    </dxf>
    <dxf>
      <font>
        <sz val="12"/>
      </font>
    </dxf>
    <dxf>
      <font>
        <sz val="12"/>
      </font>
    </dxf>
    <dxf>
      <font>
        <sz val="12"/>
      </font>
    </dxf>
    <dxf>
      <numFmt numFmtId="166" formatCode="0.0%"/>
    </dxf>
    <dxf>
      <numFmt numFmtId="167" formatCode="&quot;$&quot;#,##0"/>
    </dxf>
    <dxf>
      <numFmt numFmtId="167" formatCode="&quot;$&quot;#,##0"/>
    </dxf>
    <dxf>
      <numFmt numFmtId="166" formatCode="0.0%"/>
    </dxf>
    <dxf>
      <font>
        <sz val="12"/>
      </font>
    </dxf>
    <dxf>
      <font>
        <name val="Amasis MT Pro"/>
        <family val="1"/>
      </font>
    </dxf>
    <dxf>
      <font>
        <name val="Amasis MT Pro"/>
        <family val="1"/>
      </font>
    </dxf>
    <dxf>
      <font>
        <name val="Amasis MT Pro"/>
        <family val="1"/>
      </font>
    </dxf>
    <dxf>
      <numFmt numFmtId="167" formatCode="&quot;$&quot;#,##0"/>
    </dxf>
    <dxf>
      <font>
        <sz val="12"/>
      </font>
    </dxf>
    <dxf>
      <font>
        <sz val="12"/>
      </font>
    </dxf>
    <dxf>
      <font>
        <sz val="12"/>
      </font>
    </dxf>
    <dxf>
      <font>
        <sz val="12"/>
      </font>
    </dxf>
    <dxf>
      <font>
        <sz val="12"/>
      </font>
    </dxf>
    <dxf>
      <numFmt numFmtId="168" formatCode="_(* #,##0_);_(* \(#,##0\);_(* &quot;-&quot;??_);_(@_)"/>
    </dxf>
    <dxf>
      <font>
        <sz val="12"/>
      </font>
    </dxf>
    <dxf>
      <font>
        <name val="Amasis MT Pro"/>
        <family val="1"/>
      </font>
    </dxf>
    <dxf>
      <font>
        <name val="Amasis MT Pro"/>
        <family val="1"/>
      </font>
    </dxf>
    <dxf>
      <font>
        <name val="Amasis MT Pro"/>
        <family val="1"/>
      </font>
    </dxf>
    <dxf>
      <numFmt numFmtId="167" formatCode="&quot;$&quot;#,##0"/>
    </dxf>
    <dxf>
      <numFmt numFmtId="167" formatCode="&quot;$&quot;#,##0"/>
    </dxf>
    <dxf>
      <font>
        <sz val="12"/>
      </font>
    </dxf>
    <dxf>
      <font>
        <sz val="12"/>
      </font>
    </dxf>
    <dxf>
      <font>
        <sz val="12"/>
      </font>
    </dxf>
    <dxf>
      <font>
        <sz val="12"/>
      </font>
    </dxf>
    <dxf>
      <font>
        <sz val="12"/>
      </font>
    </dxf>
    <dxf>
      <font>
        <sz val="12"/>
      </font>
    </dxf>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numFmt numFmtId="167" formatCode="&quot;$&quot;#,##0"/>
    </dxf>
    <dxf>
      <numFmt numFmtId="167" formatCode="&quot;$&quot;#,##0"/>
    </dxf>
    <dxf>
      <numFmt numFmtId="167" formatCode="&quot;$&quot;#,##0"/>
    </dxf>
    <dxf>
      <numFmt numFmtId="167" formatCode="&quot;$&quot;#,##0"/>
    </dxf>
    <dxf>
      <numFmt numFmtId="0" formatCode="General"/>
    </dxf>
    <dxf>
      <font>
        <b/>
        <color rgb="FFFF0000"/>
      </font>
    </dxf>
    <dxf>
      <font>
        <b/>
        <color rgb="FFFF0000"/>
      </font>
    </dxf>
    <dxf>
      <font>
        <b/>
        <color rgb="FFFF0000"/>
      </font>
    </dxf>
    <dxf>
      <font>
        <b/>
        <color rgb="FFFF0000"/>
      </font>
    </dxf>
    <dxf>
      <font>
        <b/>
        <color rgb="FFFF0000"/>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auto="1"/>
      </font>
    </dxf>
    <dxf>
      <font>
        <b val="0"/>
      </font>
    </dxf>
    <dxf>
      <font>
        <color auto="1"/>
      </font>
    </dxf>
    <dxf>
      <font>
        <b val="0"/>
      </font>
    </dxf>
    <dxf>
      <font>
        <color rgb="FFFF0000"/>
      </font>
    </dxf>
    <dxf>
      <font>
        <b/>
      </font>
    </dxf>
    <dxf>
      <alignment horizontal="right"/>
    </dxf>
    <dxf>
      <font>
        <b/>
        <color rgb="FFFF0000"/>
      </font>
    </dxf>
    <dxf>
      <font>
        <b/>
        <color rgb="FFFF0000"/>
      </font>
    </dxf>
    <dxf>
      <font>
        <sz val="12"/>
      </font>
    </dxf>
    <dxf>
      <font>
        <name val="Amasis MT Pro"/>
        <family val="1"/>
      </font>
    </dxf>
    <dxf>
      <font>
        <name val="Amasis MT Pro"/>
        <family val="1"/>
      </font>
    </dxf>
    <dxf>
      <font>
        <name val="Amasis MT Pro"/>
        <family val="1"/>
      </font>
    </dxf>
    <dxf>
      <numFmt numFmtId="167" formatCode="&quot;$&quot;#,##0"/>
    </dxf>
    <dxf>
      <font>
        <sz val="12"/>
      </font>
    </dxf>
    <dxf>
      <font>
        <sz val="12"/>
      </font>
    </dxf>
    <dxf>
      <font>
        <sz val="12"/>
      </font>
    </dxf>
    <dxf>
      <font>
        <sz val="12"/>
      </font>
    </dxf>
    <dxf>
      <font>
        <sz val="12"/>
      </font>
    </dxf>
    <dxf>
      <numFmt numFmtId="167" formatCode="&quot;$&quot;#,##0"/>
    </dxf>
    <dxf>
      <alignment horizontal="right"/>
    </dxf>
    <dxf>
      <numFmt numFmtId="167" formatCode="&quot;$&quot;#,##0"/>
    </dxf>
    <dxf>
      <font>
        <sz val="12"/>
      </font>
    </dxf>
    <dxf>
      <font>
        <sz val="12"/>
      </font>
    </dxf>
    <dxf>
      <font>
        <name val="Amasis MT Pro"/>
        <family val="1"/>
      </font>
    </dxf>
    <dxf>
      <font>
        <name val="Amasis MT Pro"/>
        <family val="1"/>
      </font>
    </dxf>
    <dxf>
      <font>
        <name val="Amasis MT Pro"/>
        <family val="1"/>
      </font>
    </dxf>
    <dxf>
      <fill>
        <patternFill patternType="none">
          <bgColor auto="1"/>
        </patternFill>
      </fill>
    </dxf>
    <dxf>
      <fill>
        <patternFill patternType="none">
          <bgColor auto="1"/>
        </patternFill>
      </fill>
    </dxf>
    <dxf>
      <numFmt numFmtId="166" formatCode="0.0%"/>
    </dxf>
    <dxf>
      <numFmt numFmtId="167" formatCode="&quot;$&quot;#,##0"/>
    </dxf>
    <dxf>
      <numFmt numFmtId="167" formatCode="&quot;$&quot;#,##0"/>
    </dxf>
    <dxf>
      <font>
        <sz val="12"/>
      </font>
    </dxf>
    <dxf>
      <font>
        <sz val="12"/>
      </font>
    </dxf>
    <dxf>
      <font>
        <sz val="12"/>
      </font>
    </dxf>
    <dxf>
      <alignment horizontal="center"/>
    </dxf>
    <dxf>
      <numFmt numFmtId="168"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name val="Amasis MT Pro"/>
        <family val="1"/>
      </font>
    </dxf>
    <dxf>
      <font>
        <name val="Amasis MT Pro"/>
        <family val="1"/>
      </font>
    </dxf>
    <dxf>
      <font>
        <name val="Amasis MT Pro"/>
        <family val="1"/>
      </font>
    </dxf>
    <dxf>
      <numFmt numFmtId="167" formatCode="&quot;$&quot;#,##0"/>
    </dxf>
    <dxf>
      <font>
        <sz val="12"/>
      </font>
    </dxf>
    <dxf>
      <font>
        <sz val="12"/>
      </font>
    </dxf>
    <dxf>
      <font>
        <sz val="12"/>
      </font>
    </dxf>
    <dxf>
      <font>
        <sz val="12"/>
      </font>
    </dxf>
    <dxf>
      <font>
        <sz val="12"/>
      </font>
    </dxf>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alignment vertical="center"/>
    </dxf>
    <dxf>
      <alignment horizontal="right"/>
    </dxf>
    <dxf>
      <alignment horizontal="right"/>
    </dxf>
    <dxf>
      <numFmt numFmtId="167" formatCode="&quot;$&quot;#,##0"/>
    </dxf>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numFmt numFmtId="167" formatCode="&quot;$&quot;#,##0"/>
    </dxf>
    <dxf>
      <numFmt numFmtId="167" formatCode="&quot;$&quot;#,##0"/>
    </dxf>
    <dxf>
      <alignment vertical="center"/>
    </dxf>
    <dxf>
      <alignment vertical="center"/>
    </dxf>
    <dxf>
      <alignment horizontal="right"/>
    </dxf>
    <dxf>
      <alignment horizontal="right"/>
    </dxf>
    <dxf>
      <alignment horizontal="right"/>
    </dxf>
    <dxf>
      <font>
        <sz val="12"/>
      </font>
    </dxf>
    <dxf>
      <font>
        <name val="Amasis MT Pro"/>
        <family val="1"/>
      </font>
    </dxf>
    <dxf>
      <font>
        <name val="Amasis MT Pro"/>
        <family val="1"/>
      </font>
    </dxf>
    <dxf>
      <font>
        <sz val="12"/>
      </font>
    </dxf>
    <dxf>
      <font>
        <sz val="12"/>
      </font>
    </dxf>
    <dxf>
      <font>
        <sz val="12"/>
      </font>
    </dxf>
    <dxf>
      <font>
        <sz val="12"/>
      </font>
    </dxf>
    <dxf>
      <numFmt numFmtId="166" formatCode="0.0%"/>
    </dxf>
    <dxf>
      <numFmt numFmtId="167" formatCode="&quot;$&quot;#,##0"/>
    </dxf>
    <dxf>
      <numFmt numFmtId="167" formatCode="&quot;$&quot;#,##0"/>
    </dxf>
    <dxf>
      <numFmt numFmtId="166" formatCode="0.0%"/>
    </dxf>
    <dxf>
      <font>
        <sz val="12"/>
      </font>
    </dxf>
    <dxf>
      <font>
        <name val="Amasis MT Pro"/>
        <family val="1"/>
      </font>
    </dxf>
    <dxf>
      <font>
        <name val="Amasis MT Pro"/>
        <family val="1"/>
      </font>
    </dxf>
    <dxf>
      <font>
        <name val="Amasis MT Pro"/>
        <family val="1"/>
      </font>
    </dxf>
    <dxf>
      <numFmt numFmtId="167" formatCode="&quot;$&quot;#,##0"/>
    </dxf>
    <dxf>
      <font>
        <sz val="12"/>
      </font>
    </dxf>
    <dxf>
      <font>
        <sz val="12"/>
      </font>
    </dxf>
    <dxf>
      <font>
        <sz val="12"/>
      </font>
    </dxf>
    <dxf>
      <font>
        <sz val="12"/>
      </font>
    </dxf>
    <dxf>
      <font>
        <sz val="12"/>
      </font>
    </dxf>
    <dxf>
      <numFmt numFmtId="168" formatCode="_(* #,##0_);_(* \(#,##0\);_(* &quot;-&quot;??_);_(@_)"/>
    </dxf>
    <dxf>
      <font>
        <sz val="12"/>
      </font>
    </dxf>
    <dxf>
      <font>
        <name val="Amasis MT Pro"/>
        <family val="1"/>
      </font>
    </dxf>
    <dxf>
      <font>
        <name val="Amasis MT Pro"/>
        <family val="1"/>
      </font>
    </dxf>
    <dxf>
      <font>
        <name val="Amasis MT Pro"/>
        <family val="1"/>
      </font>
    </dxf>
    <dxf>
      <numFmt numFmtId="167" formatCode="&quot;$&quot;#,##0"/>
    </dxf>
    <dxf>
      <numFmt numFmtId="167" formatCode="&quot;$&quot;#,##0"/>
    </dxf>
    <dxf>
      <font>
        <sz val="12"/>
      </font>
    </dxf>
    <dxf>
      <font>
        <sz val="12"/>
      </font>
    </dxf>
    <dxf>
      <font>
        <sz val="12"/>
      </font>
    </dxf>
    <dxf>
      <font>
        <sz val="12"/>
      </font>
    </dxf>
    <dxf>
      <font>
        <sz val="12"/>
      </font>
    </dxf>
    <dxf>
      <font>
        <sz val="12"/>
      </font>
    </dxf>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numFmt numFmtId="167" formatCode="&quot;$&quot;#,##0"/>
    </dxf>
    <dxf>
      <numFmt numFmtId="167" formatCode="&quot;$&quot;#,##0"/>
    </dxf>
    <dxf>
      <numFmt numFmtId="167" formatCode="&quot;$&quot;#,##0"/>
    </dxf>
    <dxf>
      <numFmt numFmtId="167" formatCode="&quot;$&quot;#,##0"/>
    </dxf>
    <dxf>
      <numFmt numFmtId="0" formatCode="General"/>
    </dxf>
    <dxf>
      <font>
        <b/>
        <color rgb="FFFF0000"/>
      </font>
    </dxf>
    <dxf>
      <font>
        <b/>
        <color rgb="FFFF0000"/>
      </font>
    </dxf>
    <dxf>
      <font>
        <b/>
        <color rgb="FFFF0000"/>
      </font>
    </dxf>
    <dxf>
      <font>
        <b/>
        <color rgb="FFFF0000"/>
      </font>
    </dxf>
    <dxf>
      <font>
        <b/>
        <color rgb="FFFF0000"/>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auto="1"/>
      </font>
    </dxf>
    <dxf>
      <font>
        <b val="0"/>
      </font>
    </dxf>
    <dxf>
      <font>
        <color auto="1"/>
      </font>
    </dxf>
    <dxf>
      <font>
        <b val="0"/>
      </font>
    </dxf>
    <dxf>
      <font>
        <color rgb="FFFF0000"/>
      </font>
    </dxf>
    <dxf>
      <font>
        <b/>
      </font>
    </dxf>
    <dxf>
      <alignment horizontal="right"/>
    </dxf>
    <dxf>
      <font>
        <b/>
        <color rgb="FFFF0000"/>
      </font>
    </dxf>
    <dxf>
      <font>
        <b/>
        <color rgb="FFFF0000"/>
      </font>
    </dxf>
    <dxf>
      <font>
        <sz val="12"/>
      </font>
    </dxf>
    <dxf>
      <font>
        <name val="Amasis MT Pro"/>
        <family val="1"/>
      </font>
    </dxf>
    <dxf>
      <font>
        <name val="Amasis MT Pro"/>
        <family val="1"/>
      </font>
    </dxf>
    <dxf>
      <font>
        <name val="Amasis MT Pro"/>
        <family val="1"/>
      </font>
    </dxf>
    <dxf>
      <numFmt numFmtId="167" formatCode="&quot;$&quot;#,##0"/>
    </dxf>
    <dxf>
      <font>
        <sz val="12"/>
      </font>
    </dxf>
    <dxf>
      <font>
        <sz val="12"/>
      </font>
    </dxf>
    <dxf>
      <font>
        <sz val="12"/>
      </font>
    </dxf>
    <dxf>
      <font>
        <sz val="12"/>
      </font>
    </dxf>
    <dxf>
      <font>
        <sz val="12"/>
      </font>
    </dxf>
    <dxf>
      <numFmt numFmtId="167" formatCode="&quot;$&quot;#,##0"/>
    </dxf>
    <dxf>
      <alignment horizontal="right"/>
    </dxf>
    <dxf>
      <numFmt numFmtId="167" formatCode="&quot;$&quot;#,##0"/>
    </dxf>
    <dxf>
      <font>
        <sz val="12"/>
      </font>
    </dxf>
    <dxf>
      <font>
        <sz val="12"/>
      </font>
    </dxf>
    <dxf>
      <font>
        <name val="Amasis MT Pro"/>
        <family val="1"/>
      </font>
    </dxf>
    <dxf>
      <font>
        <name val="Amasis MT Pro"/>
        <family val="1"/>
      </font>
    </dxf>
    <dxf>
      <font>
        <name val="Amasis MT Pro"/>
        <family val="1"/>
      </font>
    </dxf>
    <dxf>
      <fill>
        <patternFill patternType="none">
          <bgColor auto="1"/>
        </patternFill>
      </fill>
    </dxf>
    <dxf>
      <fill>
        <patternFill patternType="none">
          <bgColor auto="1"/>
        </patternFill>
      </fill>
    </dxf>
    <dxf>
      <numFmt numFmtId="166" formatCode="0.0%"/>
    </dxf>
    <dxf>
      <numFmt numFmtId="167" formatCode="&quot;$&quot;#,##0"/>
    </dxf>
    <dxf>
      <numFmt numFmtId="167" formatCode="&quot;$&quot;#,##0"/>
    </dxf>
    <dxf>
      <font>
        <sz val="12"/>
      </font>
    </dxf>
    <dxf>
      <font>
        <sz val="12"/>
      </font>
    </dxf>
    <dxf>
      <font>
        <sz val="12"/>
      </font>
    </dxf>
    <dxf>
      <alignment horizontal="center"/>
    </dxf>
    <dxf>
      <numFmt numFmtId="168"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name val="Amasis MT Pro"/>
        <family val="1"/>
      </font>
    </dxf>
    <dxf>
      <font>
        <name val="Amasis MT Pro"/>
        <family val="1"/>
      </font>
    </dxf>
    <dxf>
      <font>
        <name val="Amasis MT Pro"/>
        <family val="1"/>
      </font>
    </dxf>
    <dxf>
      <numFmt numFmtId="167" formatCode="&quot;$&quot;#,##0"/>
    </dxf>
    <dxf>
      <font>
        <sz val="12"/>
      </font>
    </dxf>
    <dxf>
      <font>
        <sz val="12"/>
      </font>
    </dxf>
    <dxf>
      <font>
        <sz val="12"/>
      </font>
    </dxf>
    <dxf>
      <font>
        <sz val="12"/>
      </font>
    </dxf>
    <dxf>
      <font>
        <sz val="12"/>
      </font>
    </dxf>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alignment vertical="center"/>
    </dxf>
    <dxf>
      <alignment horizontal="right"/>
    </dxf>
    <dxf>
      <alignment horizontal="right"/>
    </dxf>
    <dxf>
      <numFmt numFmtId="167" formatCode="&quot;$&quot;#,##0"/>
    </dxf>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numFmt numFmtId="167" formatCode="&quot;$&quot;#,##0"/>
    </dxf>
    <dxf>
      <numFmt numFmtId="167" formatCode="&quot;$&quot;#,##0"/>
    </dxf>
    <dxf>
      <alignment vertical="center"/>
    </dxf>
    <dxf>
      <alignment vertical="center"/>
    </dxf>
    <dxf>
      <alignment horizontal="right"/>
    </dxf>
    <dxf>
      <alignment horizontal="right"/>
    </dxf>
    <dxf>
      <alignment horizontal="right"/>
    </dxf>
    <dxf>
      <font>
        <sz val="12"/>
      </font>
    </dxf>
    <dxf>
      <font>
        <name val="Amasis MT Pro"/>
        <family val="1"/>
      </font>
    </dxf>
    <dxf>
      <font>
        <name val="Amasis MT Pro"/>
        <family val="1"/>
      </font>
    </dxf>
    <dxf>
      <font>
        <sz val="12"/>
      </font>
    </dxf>
    <dxf>
      <font>
        <sz val="12"/>
      </font>
    </dxf>
    <dxf>
      <font>
        <sz val="12"/>
      </font>
    </dxf>
    <dxf>
      <font>
        <sz val="12"/>
      </font>
    </dxf>
    <dxf>
      <numFmt numFmtId="166" formatCode="0.0%"/>
    </dxf>
    <dxf>
      <numFmt numFmtId="167" formatCode="&quot;$&quot;#,##0"/>
    </dxf>
    <dxf>
      <numFmt numFmtId="167" formatCode="&quot;$&quot;#,##0"/>
    </dxf>
    <dxf>
      <numFmt numFmtId="166" formatCode="0.0%"/>
    </dxf>
    <dxf>
      <font>
        <sz val="12"/>
      </font>
    </dxf>
    <dxf>
      <font>
        <name val="Amasis MT Pro"/>
        <family val="1"/>
      </font>
    </dxf>
    <dxf>
      <font>
        <name val="Amasis MT Pro"/>
        <family val="1"/>
      </font>
    </dxf>
    <dxf>
      <font>
        <name val="Amasis MT Pro"/>
        <family val="1"/>
      </font>
    </dxf>
    <dxf>
      <numFmt numFmtId="167" formatCode="&quot;$&quot;#,##0"/>
    </dxf>
    <dxf>
      <font>
        <sz val="12"/>
      </font>
    </dxf>
    <dxf>
      <font>
        <sz val="12"/>
      </font>
    </dxf>
    <dxf>
      <font>
        <sz val="12"/>
      </font>
    </dxf>
    <dxf>
      <font>
        <sz val="12"/>
      </font>
    </dxf>
    <dxf>
      <font>
        <sz val="12"/>
      </font>
    </dxf>
    <dxf>
      <numFmt numFmtId="168" formatCode="_(* #,##0_);_(* \(#,##0\);_(* &quot;-&quot;??_);_(@_)"/>
    </dxf>
    <dxf>
      <font>
        <sz val="12"/>
      </font>
    </dxf>
    <dxf>
      <font>
        <name val="Amasis MT Pro"/>
        <family val="1"/>
      </font>
    </dxf>
    <dxf>
      <font>
        <name val="Amasis MT Pro"/>
        <family val="1"/>
      </font>
    </dxf>
    <dxf>
      <font>
        <name val="Amasis MT Pro"/>
        <family val="1"/>
      </font>
    </dxf>
    <dxf>
      <numFmt numFmtId="167" formatCode="&quot;$&quot;#,##0"/>
    </dxf>
    <dxf>
      <numFmt numFmtId="167" formatCode="&quot;$&quot;#,##0"/>
    </dxf>
    <dxf>
      <font>
        <sz val="12"/>
      </font>
    </dxf>
    <dxf>
      <font>
        <sz val="12"/>
      </font>
    </dxf>
    <dxf>
      <font>
        <sz val="12"/>
      </font>
    </dxf>
    <dxf>
      <font>
        <sz val="12"/>
      </font>
    </dxf>
    <dxf>
      <font>
        <sz val="12"/>
      </font>
    </dxf>
    <dxf>
      <font>
        <sz val="12"/>
      </font>
    </dxf>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numFmt numFmtId="167" formatCode="&quot;$&quot;#,##0"/>
    </dxf>
    <dxf>
      <numFmt numFmtId="167" formatCode="&quot;$&quot;#,##0"/>
    </dxf>
    <dxf>
      <numFmt numFmtId="167" formatCode="&quot;$&quot;#,##0"/>
    </dxf>
    <dxf>
      <numFmt numFmtId="167" formatCode="&quot;$&quot;#,##0"/>
    </dxf>
    <dxf>
      <numFmt numFmtId="0" formatCode="General"/>
    </dxf>
    <dxf>
      <font>
        <b/>
        <color rgb="FFFF0000"/>
      </font>
    </dxf>
    <dxf>
      <font>
        <b/>
        <color rgb="FFFF0000"/>
      </font>
    </dxf>
    <dxf>
      <font>
        <b/>
        <color rgb="FFFF0000"/>
      </font>
    </dxf>
    <dxf>
      <font>
        <b/>
        <color rgb="FFFF0000"/>
      </font>
    </dxf>
    <dxf>
      <font>
        <b/>
        <color rgb="FFFF0000"/>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auto="1"/>
      </font>
    </dxf>
    <dxf>
      <font>
        <b val="0"/>
      </font>
    </dxf>
    <dxf>
      <font>
        <color auto="1"/>
      </font>
    </dxf>
    <dxf>
      <font>
        <b val="0"/>
      </font>
    </dxf>
    <dxf>
      <font>
        <color rgb="FFFF0000"/>
      </font>
    </dxf>
    <dxf>
      <font>
        <b/>
      </font>
    </dxf>
    <dxf>
      <alignment horizontal="right"/>
    </dxf>
    <dxf>
      <font>
        <b/>
        <color rgb="FFFF0000"/>
      </font>
    </dxf>
    <dxf>
      <font>
        <b/>
        <color rgb="FFFF0000"/>
      </font>
    </dxf>
    <dxf>
      <font>
        <sz val="12"/>
      </font>
    </dxf>
    <dxf>
      <font>
        <name val="Amasis MT Pro"/>
        <family val="1"/>
      </font>
    </dxf>
    <dxf>
      <font>
        <name val="Amasis MT Pro"/>
        <family val="1"/>
      </font>
    </dxf>
    <dxf>
      <font>
        <name val="Amasis MT Pro"/>
        <family val="1"/>
      </font>
    </dxf>
    <dxf>
      <numFmt numFmtId="167" formatCode="&quot;$&quot;#,##0"/>
    </dxf>
    <dxf>
      <font>
        <sz val="12"/>
      </font>
    </dxf>
    <dxf>
      <font>
        <sz val="12"/>
      </font>
    </dxf>
    <dxf>
      <font>
        <sz val="12"/>
      </font>
    </dxf>
    <dxf>
      <font>
        <sz val="12"/>
      </font>
    </dxf>
    <dxf>
      <font>
        <sz val="12"/>
      </font>
    </dxf>
    <dxf>
      <numFmt numFmtId="167" formatCode="&quot;$&quot;#,##0"/>
    </dxf>
    <dxf>
      <alignment horizontal="right"/>
    </dxf>
    <dxf>
      <numFmt numFmtId="167" formatCode="&quot;$&quot;#,##0"/>
    </dxf>
    <dxf>
      <font>
        <sz val="12"/>
      </font>
    </dxf>
    <dxf>
      <font>
        <sz val="12"/>
      </font>
    </dxf>
    <dxf>
      <font>
        <name val="Amasis MT Pro"/>
        <family val="1"/>
      </font>
    </dxf>
    <dxf>
      <font>
        <name val="Amasis MT Pro"/>
        <family val="1"/>
      </font>
    </dxf>
    <dxf>
      <font>
        <name val="Amasis MT Pro"/>
        <family val="1"/>
      </font>
    </dxf>
    <dxf>
      <fill>
        <patternFill patternType="none">
          <bgColor auto="1"/>
        </patternFill>
      </fill>
    </dxf>
    <dxf>
      <fill>
        <patternFill patternType="none">
          <bgColor auto="1"/>
        </patternFill>
      </fill>
    </dxf>
    <dxf>
      <numFmt numFmtId="166" formatCode="0.0%"/>
    </dxf>
    <dxf>
      <numFmt numFmtId="167" formatCode="&quot;$&quot;#,##0"/>
    </dxf>
    <dxf>
      <numFmt numFmtId="167" formatCode="&quot;$&quot;#,##0"/>
    </dxf>
    <dxf>
      <font>
        <sz val="12"/>
      </font>
    </dxf>
    <dxf>
      <font>
        <sz val="12"/>
      </font>
    </dxf>
    <dxf>
      <font>
        <sz val="12"/>
      </font>
    </dxf>
    <dxf>
      <alignment horizontal="center"/>
    </dxf>
    <dxf>
      <numFmt numFmtId="168"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name val="Amasis MT Pro"/>
        <family val="1"/>
      </font>
    </dxf>
    <dxf>
      <font>
        <name val="Amasis MT Pro"/>
        <family val="1"/>
      </font>
    </dxf>
    <dxf>
      <font>
        <name val="Amasis MT Pro"/>
        <family val="1"/>
      </font>
    </dxf>
    <dxf>
      <numFmt numFmtId="167" formatCode="&quot;$&quot;#,##0"/>
    </dxf>
    <dxf>
      <font>
        <sz val="12"/>
      </font>
    </dxf>
    <dxf>
      <font>
        <sz val="12"/>
      </font>
    </dxf>
    <dxf>
      <font>
        <sz val="12"/>
      </font>
    </dxf>
    <dxf>
      <font>
        <sz val="12"/>
      </font>
    </dxf>
    <dxf>
      <font>
        <sz val="12"/>
      </font>
    </dxf>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alignment vertical="center"/>
    </dxf>
    <dxf>
      <alignment horizontal="right"/>
    </dxf>
    <dxf>
      <alignment horizontal="right"/>
    </dxf>
    <dxf>
      <numFmt numFmtId="167" formatCode="&quot;$&quot;#,##0"/>
    </dxf>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numFmt numFmtId="167" formatCode="&quot;$&quot;#,##0"/>
    </dxf>
    <dxf>
      <numFmt numFmtId="167" formatCode="&quot;$&quot;#,##0"/>
    </dxf>
    <dxf>
      <alignment vertical="center"/>
    </dxf>
    <dxf>
      <alignment vertical="center"/>
    </dxf>
    <dxf>
      <alignment horizontal="right"/>
    </dxf>
    <dxf>
      <alignment horizontal="right"/>
    </dxf>
    <dxf>
      <alignment horizontal="right"/>
    </dxf>
    <dxf>
      <font>
        <sz val="12"/>
      </font>
    </dxf>
    <dxf>
      <font>
        <name val="Amasis MT Pro"/>
        <family val="1"/>
      </font>
    </dxf>
    <dxf>
      <font>
        <name val="Amasis MT Pro"/>
        <family val="1"/>
      </font>
    </dxf>
    <dxf>
      <font>
        <sz val="12"/>
      </font>
    </dxf>
    <dxf>
      <font>
        <sz val="12"/>
      </font>
    </dxf>
    <dxf>
      <font>
        <sz val="12"/>
      </font>
    </dxf>
    <dxf>
      <font>
        <sz val="12"/>
      </font>
    </dxf>
    <dxf>
      <numFmt numFmtId="166" formatCode="0.0%"/>
    </dxf>
    <dxf>
      <numFmt numFmtId="167" formatCode="&quot;$&quot;#,##0"/>
    </dxf>
    <dxf>
      <numFmt numFmtId="167" formatCode="&quot;$&quot;#,##0"/>
    </dxf>
    <dxf>
      <numFmt numFmtId="166" formatCode="0.0%"/>
    </dxf>
    <dxf>
      <font>
        <sz val="12"/>
      </font>
    </dxf>
    <dxf>
      <font>
        <name val="Amasis MT Pro"/>
        <family val="1"/>
      </font>
    </dxf>
    <dxf>
      <font>
        <name val="Amasis MT Pro"/>
        <family val="1"/>
      </font>
    </dxf>
    <dxf>
      <font>
        <name val="Amasis MT Pro"/>
        <family val="1"/>
      </font>
    </dxf>
    <dxf>
      <numFmt numFmtId="167" formatCode="&quot;$&quot;#,##0"/>
    </dxf>
    <dxf>
      <font>
        <sz val="12"/>
      </font>
    </dxf>
    <dxf>
      <font>
        <sz val="12"/>
      </font>
    </dxf>
    <dxf>
      <font>
        <sz val="12"/>
      </font>
    </dxf>
    <dxf>
      <font>
        <sz val="12"/>
      </font>
    </dxf>
    <dxf>
      <font>
        <sz val="12"/>
      </font>
    </dxf>
    <dxf>
      <numFmt numFmtId="168" formatCode="_(* #,##0_);_(* \(#,##0\);_(* &quot;-&quot;??_);_(@_)"/>
    </dxf>
    <dxf>
      <font>
        <sz val="12"/>
      </font>
    </dxf>
    <dxf>
      <font>
        <name val="Amasis MT Pro"/>
        <family val="1"/>
      </font>
    </dxf>
    <dxf>
      <font>
        <name val="Amasis MT Pro"/>
        <family val="1"/>
      </font>
    </dxf>
    <dxf>
      <font>
        <name val="Amasis MT Pro"/>
        <family val="1"/>
      </font>
    </dxf>
    <dxf>
      <numFmt numFmtId="167" formatCode="&quot;$&quot;#,##0"/>
    </dxf>
    <dxf>
      <numFmt numFmtId="167" formatCode="&quot;$&quot;#,##0"/>
    </dxf>
    <dxf>
      <font>
        <sz val="12"/>
      </font>
    </dxf>
    <dxf>
      <font>
        <sz val="12"/>
      </font>
    </dxf>
    <dxf>
      <font>
        <sz val="12"/>
      </font>
    </dxf>
    <dxf>
      <font>
        <sz val="12"/>
      </font>
    </dxf>
    <dxf>
      <font>
        <sz val="12"/>
      </font>
    </dxf>
    <dxf>
      <font>
        <sz val="12"/>
      </font>
    </dxf>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numFmt numFmtId="167" formatCode="&quot;$&quot;#,##0"/>
    </dxf>
    <dxf>
      <numFmt numFmtId="167" formatCode="&quot;$&quot;#,##0"/>
    </dxf>
    <dxf>
      <numFmt numFmtId="167" formatCode="&quot;$&quot;#,##0"/>
    </dxf>
    <dxf>
      <numFmt numFmtId="167" formatCode="&quot;$&quot;#,##0"/>
    </dxf>
    <dxf>
      <numFmt numFmtId="0" formatCode="General"/>
    </dxf>
    <dxf>
      <font>
        <b/>
        <color rgb="FFFF0000"/>
      </font>
    </dxf>
    <dxf>
      <font>
        <b/>
        <color rgb="FFFF0000"/>
      </font>
    </dxf>
    <dxf>
      <font>
        <b/>
        <color rgb="FFFF0000"/>
      </font>
    </dxf>
    <dxf>
      <font>
        <b/>
        <color rgb="FFFF0000"/>
      </font>
    </dxf>
    <dxf>
      <font>
        <b/>
        <color rgb="FFFF0000"/>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auto="1"/>
      </font>
    </dxf>
    <dxf>
      <font>
        <b val="0"/>
      </font>
    </dxf>
    <dxf>
      <font>
        <color auto="1"/>
      </font>
    </dxf>
    <dxf>
      <font>
        <b val="0"/>
      </font>
    </dxf>
    <dxf>
      <font>
        <color rgb="FFFF0000"/>
      </font>
    </dxf>
    <dxf>
      <font>
        <b/>
      </font>
    </dxf>
    <dxf>
      <alignment horizontal="right"/>
    </dxf>
    <dxf>
      <font>
        <b/>
        <color rgb="FFFF0000"/>
      </font>
    </dxf>
    <dxf>
      <font>
        <b/>
        <color rgb="FFFF0000"/>
      </font>
    </dxf>
    <dxf>
      <font>
        <sz val="12"/>
      </font>
    </dxf>
    <dxf>
      <font>
        <name val="Amasis MT Pro"/>
        <family val="1"/>
      </font>
    </dxf>
    <dxf>
      <font>
        <name val="Amasis MT Pro"/>
        <family val="1"/>
      </font>
    </dxf>
    <dxf>
      <font>
        <name val="Amasis MT Pro"/>
        <family val="1"/>
      </font>
    </dxf>
    <dxf>
      <numFmt numFmtId="167" formatCode="&quot;$&quot;#,##0"/>
    </dxf>
    <dxf>
      <font>
        <sz val="12"/>
      </font>
    </dxf>
    <dxf>
      <font>
        <sz val="12"/>
      </font>
    </dxf>
    <dxf>
      <font>
        <sz val="12"/>
      </font>
    </dxf>
    <dxf>
      <font>
        <sz val="12"/>
      </font>
    </dxf>
    <dxf>
      <font>
        <sz val="12"/>
      </font>
    </dxf>
    <dxf>
      <numFmt numFmtId="167" formatCode="&quot;$&quot;#,##0"/>
    </dxf>
    <dxf>
      <alignment horizontal="right"/>
    </dxf>
    <dxf>
      <numFmt numFmtId="167" formatCode="&quot;$&quot;#,##0"/>
    </dxf>
    <dxf>
      <font>
        <sz val="12"/>
      </font>
    </dxf>
    <dxf>
      <font>
        <sz val="12"/>
      </font>
    </dxf>
    <dxf>
      <font>
        <name val="Amasis MT Pro"/>
        <family val="1"/>
      </font>
    </dxf>
    <dxf>
      <font>
        <name val="Amasis MT Pro"/>
        <family val="1"/>
      </font>
    </dxf>
    <dxf>
      <font>
        <name val="Amasis MT Pro"/>
        <family val="1"/>
      </font>
    </dxf>
    <dxf>
      <fill>
        <patternFill patternType="none">
          <bgColor auto="1"/>
        </patternFill>
      </fill>
    </dxf>
    <dxf>
      <fill>
        <patternFill patternType="none">
          <bgColor auto="1"/>
        </patternFill>
      </fill>
    </dxf>
    <dxf>
      <numFmt numFmtId="166" formatCode="0.0%"/>
    </dxf>
    <dxf>
      <numFmt numFmtId="167" formatCode="&quot;$&quot;#,##0"/>
    </dxf>
    <dxf>
      <numFmt numFmtId="167" formatCode="&quot;$&quot;#,##0"/>
    </dxf>
    <dxf>
      <font>
        <sz val="12"/>
      </font>
    </dxf>
    <dxf>
      <font>
        <sz val="12"/>
      </font>
    </dxf>
    <dxf>
      <font>
        <sz val="12"/>
      </font>
    </dxf>
    <dxf>
      <alignment horizontal="center"/>
    </dxf>
    <dxf>
      <numFmt numFmtId="168"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name val="Amasis MT Pro"/>
        <family val="1"/>
      </font>
    </dxf>
    <dxf>
      <font>
        <name val="Amasis MT Pro"/>
        <family val="1"/>
      </font>
    </dxf>
    <dxf>
      <font>
        <name val="Amasis MT Pro"/>
        <family val="1"/>
      </font>
    </dxf>
    <dxf>
      <numFmt numFmtId="167" formatCode="&quot;$&quot;#,##0"/>
    </dxf>
    <dxf>
      <font>
        <sz val="12"/>
      </font>
    </dxf>
    <dxf>
      <font>
        <sz val="12"/>
      </font>
    </dxf>
    <dxf>
      <font>
        <sz val="12"/>
      </font>
    </dxf>
    <dxf>
      <font>
        <sz val="12"/>
      </font>
    </dxf>
    <dxf>
      <font>
        <sz val="12"/>
      </font>
    </dxf>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alignment vertical="center"/>
    </dxf>
    <dxf>
      <alignment horizontal="right"/>
    </dxf>
    <dxf>
      <alignment horizontal="right"/>
    </dxf>
    <dxf>
      <numFmt numFmtId="167" formatCode="&quot;$&quot;#,##0"/>
    </dxf>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numFmt numFmtId="167" formatCode="&quot;$&quot;#,##0"/>
    </dxf>
    <dxf>
      <numFmt numFmtId="167" formatCode="&quot;$&quot;#,##0"/>
    </dxf>
    <dxf>
      <alignment vertical="center"/>
    </dxf>
    <dxf>
      <alignment vertical="center"/>
    </dxf>
    <dxf>
      <alignment horizontal="right"/>
    </dxf>
    <dxf>
      <alignment horizontal="right"/>
    </dxf>
    <dxf>
      <alignment horizontal="right"/>
    </dxf>
    <dxf>
      <font>
        <sz val="12"/>
      </font>
    </dxf>
    <dxf>
      <font>
        <name val="Amasis MT Pro"/>
        <family val="1"/>
      </font>
    </dxf>
    <dxf>
      <font>
        <name val="Amasis MT Pro"/>
        <family val="1"/>
      </font>
    </dxf>
    <dxf>
      <font>
        <sz val="12"/>
      </font>
    </dxf>
    <dxf>
      <font>
        <sz val="12"/>
      </font>
    </dxf>
    <dxf>
      <font>
        <sz val="12"/>
      </font>
    </dxf>
    <dxf>
      <font>
        <sz val="12"/>
      </font>
    </dxf>
    <dxf>
      <numFmt numFmtId="166" formatCode="0.0%"/>
    </dxf>
    <dxf>
      <numFmt numFmtId="167" formatCode="&quot;$&quot;#,##0"/>
    </dxf>
    <dxf>
      <numFmt numFmtId="167" formatCode="&quot;$&quot;#,##0"/>
    </dxf>
    <dxf>
      <numFmt numFmtId="166" formatCode="0.0%"/>
    </dxf>
    <dxf>
      <font>
        <sz val="12"/>
      </font>
    </dxf>
    <dxf>
      <font>
        <name val="Amasis MT Pro"/>
        <family val="1"/>
      </font>
    </dxf>
    <dxf>
      <font>
        <name val="Amasis MT Pro"/>
        <family val="1"/>
      </font>
    </dxf>
    <dxf>
      <font>
        <name val="Amasis MT Pro"/>
        <family val="1"/>
      </font>
    </dxf>
    <dxf>
      <numFmt numFmtId="167" formatCode="&quot;$&quot;#,##0"/>
    </dxf>
    <dxf>
      <font>
        <sz val="12"/>
      </font>
    </dxf>
    <dxf>
      <font>
        <sz val="12"/>
      </font>
    </dxf>
    <dxf>
      <font>
        <sz val="12"/>
      </font>
    </dxf>
    <dxf>
      <font>
        <sz val="12"/>
      </font>
    </dxf>
    <dxf>
      <font>
        <sz val="12"/>
      </font>
    </dxf>
    <dxf>
      <numFmt numFmtId="168" formatCode="_(* #,##0_);_(* \(#,##0\);_(* &quot;-&quot;??_);_(@_)"/>
    </dxf>
    <dxf>
      <font>
        <sz val="12"/>
      </font>
    </dxf>
    <dxf>
      <font>
        <name val="Amasis MT Pro"/>
        <family val="1"/>
      </font>
    </dxf>
    <dxf>
      <font>
        <name val="Amasis MT Pro"/>
        <family val="1"/>
      </font>
    </dxf>
    <dxf>
      <font>
        <name val="Amasis MT Pro"/>
        <family val="1"/>
      </font>
    </dxf>
    <dxf>
      <numFmt numFmtId="167" formatCode="&quot;$&quot;#,##0"/>
    </dxf>
    <dxf>
      <numFmt numFmtId="167" formatCode="&quot;$&quot;#,##0"/>
    </dxf>
    <dxf>
      <font>
        <sz val="12"/>
      </font>
    </dxf>
    <dxf>
      <font>
        <sz val="12"/>
      </font>
    </dxf>
    <dxf>
      <font>
        <sz val="12"/>
      </font>
    </dxf>
    <dxf>
      <font>
        <sz val="12"/>
      </font>
    </dxf>
    <dxf>
      <font>
        <sz val="12"/>
      </font>
    </dxf>
    <dxf>
      <font>
        <sz val="12"/>
      </font>
    </dxf>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numFmt numFmtId="167" formatCode="&quot;$&quot;#,##0"/>
    </dxf>
    <dxf>
      <numFmt numFmtId="167" formatCode="&quot;$&quot;#,##0"/>
    </dxf>
    <dxf>
      <numFmt numFmtId="167" formatCode="&quot;$&quot;#,##0"/>
    </dxf>
    <dxf>
      <numFmt numFmtId="167" formatCode="&quot;$&quot;#,##0"/>
    </dxf>
    <dxf>
      <numFmt numFmtId="0" formatCode="General"/>
    </dxf>
    <dxf>
      <font>
        <b/>
        <color rgb="FFFF0000"/>
      </font>
    </dxf>
    <dxf>
      <font>
        <b/>
        <color rgb="FFFF0000"/>
      </font>
    </dxf>
    <dxf>
      <font>
        <b/>
        <color rgb="FFFF0000"/>
      </font>
    </dxf>
    <dxf>
      <font>
        <b/>
        <color rgb="FFFF0000"/>
      </font>
    </dxf>
    <dxf>
      <font>
        <b/>
        <color rgb="FFFF0000"/>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auto="1"/>
      </font>
    </dxf>
    <dxf>
      <font>
        <b val="0"/>
      </font>
    </dxf>
    <dxf>
      <font>
        <color auto="1"/>
      </font>
    </dxf>
    <dxf>
      <font>
        <b val="0"/>
      </font>
    </dxf>
    <dxf>
      <font>
        <color rgb="FFFF0000"/>
      </font>
    </dxf>
    <dxf>
      <font>
        <b/>
      </font>
    </dxf>
    <dxf>
      <alignment horizontal="right"/>
    </dxf>
    <dxf>
      <font>
        <b/>
        <color rgb="FFFF0000"/>
      </font>
    </dxf>
    <dxf>
      <font>
        <b/>
        <color rgb="FFFF0000"/>
      </font>
    </dxf>
    <dxf>
      <font>
        <sz val="12"/>
      </font>
    </dxf>
    <dxf>
      <font>
        <name val="Amasis MT Pro"/>
        <family val="1"/>
      </font>
    </dxf>
    <dxf>
      <font>
        <name val="Amasis MT Pro"/>
        <family val="1"/>
      </font>
    </dxf>
    <dxf>
      <font>
        <name val="Amasis MT Pro"/>
        <family val="1"/>
      </font>
    </dxf>
    <dxf>
      <numFmt numFmtId="167" formatCode="&quot;$&quot;#,##0"/>
    </dxf>
    <dxf>
      <font>
        <sz val="12"/>
      </font>
    </dxf>
    <dxf>
      <font>
        <sz val="12"/>
      </font>
    </dxf>
    <dxf>
      <font>
        <sz val="12"/>
      </font>
    </dxf>
    <dxf>
      <font>
        <sz val="12"/>
      </font>
    </dxf>
    <dxf>
      <font>
        <sz val="12"/>
      </font>
    </dxf>
    <dxf>
      <numFmt numFmtId="167" formatCode="&quot;$&quot;#,##0"/>
    </dxf>
    <dxf>
      <alignment horizontal="right"/>
    </dxf>
    <dxf>
      <numFmt numFmtId="167" formatCode="&quot;$&quot;#,##0"/>
    </dxf>
    <dxf>
      <font>
        <sz val="12"/>
      </font>
    </dxf>
    <dxf>
      <font>
        <sz val="12"/>
      </font>
    </dxf>
    <dxf>
      <font>
        <name val="Amasis MT Pro"/>
        <family val="1"/>
      </font>
    </dxf>
    <dxf>
      <font>
        <name val="Amasis MT Pro"/>
        <family val="1"/>
      </font>
    </dxf>
    <dxf>
      <font>
        <name val="Amasis MT Pro"/>
        <family val="1"/>
      </font>
    </dxf>
    <dxf>
      <fill>
        <patternFill patternType="none">
          <bgColor auto="1"/>
        </patternFill>
      </fill>
    </dxf>
    <dxf>
      <fill>
        <patternFill patternType="none">
          <bgColor auto="1"/>
        </patternFill>
      </fill>
    </dxf>
    <dxf>
      <numFmt numFmtId="166" formatCode="0.0%"/>
    </dxf>
    <dxf>
      <numFmt numFmtId="167" formatCode="&quot;$&quot;#,##0"/>
    </dxf>
    <dxf>
      <numFmt numFmtId="167" formatCode="&quot;$&quot;#,##0"/>
    </dxf>
    <dxf>
      <font>
        <sz val="12"/>
      </font>
    </dxf>
    <dxf>
      <font>
        <sz val="12"/>
      </font>
    </dxf>
    <dxf>
      <font>
        <sz val="12"/>
      </font>
    </dxf>
    <dxf>
      <alignment horizontal="center"/>
    </dxf>
    <dxf>
      <numFmt numFmtId="168"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name val="Amasis MT Pro"/>
        <family val="1"/>
      </font>
    </dxf>
    <dxf>
      <font>
        <name val="Amasis MT Pro"/>
        <family val="1"/>
      </font>
    </dxf>
    <dxf>
      <font>
        <name val="Amasis MT Pro"/>
        <family val="1"/>
      </font>
    </dxf>
    <dxf>
      <numFmt numFmtId="167" formatCode="&quot;$&quot;#,##0"/>
    </dxf>
    <dxf>
      <font>
        <sz val="12"/>
      </font>
    </dxf>
    <dxf>
      <font>
        <sz val="12"/>
      </font>
    </dxf>
    <dxf>
      <font>
        <sz val="12"/>
      </font>
    </dxf>
    <dxf>
      <font>
        <sz val="12"/>
      </font>
    </dxf>
    <dxf>
      <font>
        <sz val="12"/>
      </font>
    </dxf>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alignment vertical="center"/>
    </dxf>
    <dxf>
      <alignment horizontal="right"/>
    </dxf>
    <dxf>
      <alignment horizontal="right"/>
    </dxf>
    <dxf>
      <numFmt numFmtId="167" formatCode="&quot;$&quot;#,##0"/>
    </dxf>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numFmt numFmtId="167" formatCode="&quot;$&quot;#,##0"/>
    </dxf>
    <dxf>
      <numFmt numFmtId="167" formatCode="&quot;$&quot;#,##0"/>
    </dxf>
    <dxf>
      <alignment vertical="center"/>
    </dxf>
    <dxf>
      <alignment vertical="center"/>
    </dxf>
    <dxf>
      <alignment horizontal="right"/>
    </dxf>
    <dxf>
      <alignment horizontal="right"/>
    </dxf>
    <dxf>
      <alignment horizontal="right"/>
    </dxf>
    <dxf>
      <font>
        <sz val="12"/>
      </font>
    </dxf>
    <dxf>
      <font>
        <name val="Amasis MT Pro"/>
        <family val="1"/>
      </font>
    </dxf>
    <dxf>
      <font>
        <name val="Amasis MT Pro"/>
        <family val="1"/>
      </font>
    </dxf>
    <dxf>
      <font>
        <sz val="12"/>
      </font>
    </dxf>
    <dxf>
      <font>
        <sz val="12"/>
      </font>
    </dxf>
    <dxf>
      <font>
        <sz val="12"/>
      </font>
    </dxf>
    <dxf>
      <font>
        <sz val="12"/>
      </font>
    </dxf>
    <dxf>
      <numFmt numFmtId="166" formatCode="0.0%"/>
    </dxf>
    <dxf>
      <numFmt numFmtId="167" formatCode="&quot;$&quot;#,##0"/>
    </dxf>
    <dxf>
      <numFmt numFmtId="167" formatCode="&quot;$&quot;#,##0"/>
    </dxf>
    <dxf>
      <numFmt numFmtId="166" formatCode="0.0%"/>
    </dxf>
    <dxf>
      <font>
        <sz val="12"/>
      </font>
    </dxf>
    <dxf>
      <font>
        <name val="Amasis MT Pro"/>
        <family val="1"/>
      </font>
    </dxf>
    <dxf>
      <font>
        <name val="Amasis MT Pro"/>
        <family val="1"/>
      </font>
    </dxf>
    <dxf>
      <font>
        <name val="Amasis MT Pro"/>
        <family val="1"/>
      </font>
    </dxf>
    <dxf>
      <numFmt numFmtId="167" formatCode="&quot;$&quot;#,##0"/>
    </dxf>
    <dxf>
      <font>
        <sz val="12"/>
      </font>
    </dxf>
    <dxf>
      <font>
        <sz val="12"/>
      </font>
    </dxf>
    <dxf>
      <font>
        <sz val="12"/>
      </font>
    </dxf>
    <dxf>
      <font>
        <sz val="12"/>
      </font>
    </dxf>
    <dxf>
      <font>
        <sz val="12"/>
      </font>
    </dxf>
    <dxf>
      <numFmt numFmtId="168" formatCode="_(* #,##0_);_(* \(#,##0\);_(* &quot;-&quot;??_);_(@_)"/>
    </dxf>
    <dxf>
      <font>
        <sz val="12"/>
      </font>
    </dxf>
    <dxf>
      <font>
        <name val="Amasis MT Pro"/>
        <family val="1"/>
      </font>
    </dxf>
    <dxf>
      <font>
        <name val="Amasis MT Pro"/>
        <family val="1"/>
      </font>
    </dxf>
    <dxf>
      <font>
        <name val="Amasis MT Pro"/>
        <family val="1"/>
      </font>
    </dxf>
    <dxf>
      <numFmt numFmtId="167" formatCode="&quot;$&quot;#,##0"/>
    </dxf>
    <dxf>
      <numFmt numFmtId="167" formatCode="&quot;$&quot;#,##0"/>
    </dxf>
    <dxf>
      <font>
        <sz val="12"/>
      </font>
    </dxf>
    <dxf>
      <font>
        <sz val="12"/>
      </font>
    </dxf>
    <dxf>
      <font>
        <sz val="12"/>
      </font>
    </dxf>
    <dxf>
      <font>
        <sz val="12"/>
      </font>
    </dxf>
    <dxf>
      <font>
        <sz val="12"/>
      </font>
    </dxf>
    <dxf>
      <font>
        <sz val="12"/>
      </font>
    </dxf>
    <dxf>
      <font>
        <sz val="12"/>
      </font>
    </dxf>
    <dxf>
      <font>
        <name val="Amasis MT Pro"/>
        <family val="1"/>
      </font>
    </dxf>
    <dxf>
      <font>
        <name val="Amasis MT Pro"/>
        <family val="1"/>
      </font>
    </dxf>
    <dxf>
      <font>
        <sz val="12"/>
      </font>
    </dxf>
    <dxf>
      <font>
        <sz val="12"/>
      </font>
    </dxf>
    <dxf>
      <font>
        <sz val="12"/>
      </font>
    </dxf>
    <dxf>
      <font>
        <sz val="12"/>
      </font>
    </dxf>
    <dxf>
      <numFmt numFmtId="167" formatCode="&quot;$&quot;#,##0"/>
    </dxf>
    <dxf>
      <numFmt numFmtId="167" formatCode="&quot;$&quot;#,##0"/>
    </dxf>
    <dxf>
      <numFmt numFmtId="167" formatCode="&quot;$&quot;#,##0"/>
    </dxf>
    <dxf>
      <numFmt numFmtId="167" formatCode="&quot;$&quot;#,##0"/>
    </dxf>
    <dxf>
      <numFmt numFmtId="167" formatCode="&quot;$&quot;#,##0"/>
    </dxf>
    <dxf>
      <numFmt numFmtId="0" formatCode="General"/>
    </dxf>
    <dxf>
      <font>
        <b/>
        <color rgb="FFFF0000"/>
      </font>
    </dxf>
    <dxf>
      <font>
        <b/>
        <color rgb="FFFF0000"/>
      </font>
    </dxf>
    <dxf>
      <font>
        <b/>
        <color rgb="FFFF0000"/>
      </font>
    </dxf>
    <dxf>
      <font>
        <b/>
        <color rgb="FFFF0000"/>
      </font>
    </dxf>
    <dxf>
      <font>
        <b/>
        <color rgb="FFFF0000"/>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auto="1"/>
      </font>
    </dxf>
    <dxf>
      <font>
        <b val="0"/>
      </font>
    </dxf>
    <dxf>
      <font>
        <color auto="1"/>
      </font>
    </dxf>
    <dxf>
      <font>
        <b val="0"/>
      </font>
    </dxf>
    <dxf>
      <font>
        <color rgb="FFFF0000"/>
      </font>
    </dxf>
    <dxf>
      <font>
        <b/>
      </font>
    </dxf>
    <dxf>
      <alignment horizontal="right"/>
    </dxf>
    <dxf>
      <font>
        <b/>
        <color rgb="FFFF0000"/>
      </font>
    </dxf>
    <dxf>
      <font>
        <b/>
        <color rgb="FFFF0000"/>
      </font>
    </dxf>
    <dxf>
      <font>
        <sz val="12"/>
      </font>
    </dxf>
    <dxf>
      <font>
        <name val="Amasis MT Pro"/>
        <family val="1"/>
      </font>
    </dxf>
    <dxf>
      <font>
        <name val="Amasis MT Pro"/>
        <family val="1"/>
      </font>
    </dxf>
    <dxf>
      <font>
        <name val="Amasis MT Pro"/>
        <family val="1"/>
      </font>
    </dxf>
    <dxf>
      <numFmt numFmtId="167" formatCode="&quot;$&quot;#,##0"/>
    </dxf>
    <dxf>
      <font>
        <sz val="12"/>
      </font>
    </dxf>
    <dxf>
      <font>
        <sz val="12"/>
      </font>
    </dxf>
    <dxf>
      <font>
        <sz val="12"/>
      </font>
    </dxf>
    <dxf>
      <font>
        <sz val="12"/>
      </font>
    </dxf>
    <dxf>
      <font>
        <sz val="12"/>
      </font>
    </dxf>
    <dxf>
      <numFmt numFmtId="167" formatCode="&quot;$&quot;#,##0"/>
    </dxf>
    <dxf>
      <alignment horizontal="right"/>
    </dxf>
    <dxf>
      <numFmt numFmtId="167" formatCode="&quot;$&quot;#,##0"/>
    </dxf>
    <dxf>
      <font>
        <sz val="12"/>
      </font>
    </dxf>
    <dxf>
      <font>
        <sz val="12"/>
      </font>
    </dxf>
    <dxf>
      <font>
        <name val="Amasis MT Pro"/>
        <family val="1"/>
      </font>
    </dxf>
    <dxf>
      <font>
        <name val="Amasis MT Pro"/>
        <family val="1"/>
      </font>
    </dxf>
    <dxf>
      <font>
        <name val="Amasis MT Pro"/>
        <family val="1"/>
      </font>
    </dxf>
    <dxf>
      <fill>
        <patternFill patternType="none">
          <bgColor auto="1"/>
        </patternFill>
      </fill>
    </dxf>
    <dxf>
      <fill>
        <patternFill patternType="none">
          <bgColor auto="1"/>
        </patternFill>
      </fill>
    </dxf>
    <dxf>
      <numFmt numFmtId="166" formatCode="0.0%"/>
    </dxf>
    <dxf>
      <numFmt numFmtId="167" formatCode="&quot;$&quot;#,##0"/>
    </dxf>
    <dxf>
      <numFmt numFmtId="167" formatCode="&quot;$&quot;#,##0"/>
    </dxf>
    <dxf>
      <font>
        <sz val="12"/>
      </font>
    </dxf>
    <dxf>
      <font>
        <sz val="12"/>
      </font>
    </dxf>
    <dxf>
      <font>
        <sz val="12"/>
      </font>
    </dxf>
    <dxf>
      <alignment horizontal="center"/>
    </dxf>
    <dxf>
      <numFmt numFmtId="168"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
    </dxf>
    <dxf>
      <alignment horizontal="right"/>
    </dxf>
    <dxf>
      <alignment horizontal="right"/>
    </dxf>
    <dxf>
      <alignment vertical="center"/>
    </dxf>
    <dxf>
      <numFmt numFmtId="167" formatCode="&quot;$&quot;#,##0"/>
    </dxf>
    <dxf>
      <font>
        <sz val="12"/>
      </font>
    </dxf>
    <dxf>
      <font>
        <sz val="12"/>
      </font>
    </dxf>
    <dxf>
      <font>
        <sz val="12"/>
      </font>
    </dxf>
    <dxf>
      <font>
        <sz val="12"/>
      </font>
    </dxf>
    <dxf>
      <font>
        <name val="Amasis MT Pro"/>
        <family val="1"/>
      </font>
    </dxf>
    <dxf>
      <font>
        <name val="Amasis MT Pro"/>
        <family val="1"/>
      </font>
    </dxf>
    <dxf>
      <font>
        <sz val="12"/>
      </font>
    </dxf>
    <dxf>
      <numFmt numFmtId="168" formatCode="_(* #,##0_);_(* \(#,##0\);_(* &quot;-&quot;??_);_(@_)"/>
    </dxf>
    <dxf>
      <font>
        <sz val="12"/>
      </font>
    </dxf>
    <dxf>
      <font>
        <sz val="12"/>
      </font>
    </dxf>
    <dxf>
      <font>
        <sz val="12"/>
      </font>
    </dxf>
    <dxf>
      <font>
        <sz val="12"/>
      </font>
    </dxf>
    <dxf>
      <font>
        <sz val="12"/>
      </font>
    </dxf>
    <dxf>
      <numFmt numFmtId="167" formatCode="&quot;$&quot;#,##0"/>
    </dxf>
    <dxf>
      <font>
        <name val="Amasis MT Pro"/>
        <family val="1"/>
      </font>
    </dxf>
    <dxf>
      <font>
        <name val="Amasis MT Pro"/>
        <family val="1"/>
      </font>
    </dxf>
    <dxf>
      <font>
        <name val="Amasis MT Pro"/>
        <family val="1"/>
      </font>
    </dxf>
    <dxf>
      <font>
        <sz val="12"/>
      </font>
    </dxf>
    <dxf>
      <font>
        <b/>
        <color rgb="FFFF0000"/>
      </font>
    </dxf>
    <dxf>
      <font>
        <b/>
        <color rgb="FFFF0000"/>
      </font>
    </dxf>
    <dxf>
      <alignment horizontal="right"/>
    </dxf>
    <dxf>
      <font>
        <b/>
      </font>
    </dxf>
    <dxf>
      <font>
        <color rgb="FFFF0000"/>
      </font>
    </dxf>
    <dxf>
      <font>
        <b val="0"/>
      </font>
    </dxf>
    <dxf>
      <font>
        <color auto="1"/>
      </font>
    </dxf>
    <dxf>
      <font>
        <b val="0"/>
      </font>
    </dxf>
    <dxf>
      <font>
        <color auto="1"/>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b/>
        <color rgb="FFFF0000"/>
      </font>
    </dxf>
    <dxf>
      <font>
        <b/>
        <color rgb="FFFF0000"/>
      </font>
    </dxf>
    <dxf>
      <font>
        <b/>
        <color rgb="FFFF0000"/>
      </font>
    </dxf>
    <dxf>
      <font>
        <b/>
        <color rgb="FFFF0000"/>
      </font>
    </dxf>
    <dxf>
      <font>
        <b/>
        <color rgb="FFFF0000"/>
      </font>
    </dxf>
    <dxf>
      <numFmt numFmtId="0" formatCode="General"/>
    </dxf>
    <dxf>
      <numFmt numFmtId="167" formatCode="&quot;$&quot;#,##0"/>
    </dxf>
    <dxf>
      <numFmt numFmtId="167" formatCode="&quot;$&quot;#,##0"/>
    </dxf>
    <dxf>
      <numFmt numFmtId="167" formatCode="&quot;$&quot;#,##0"/>
    </dxf>
    <dxf>
      <numFmt numFmtId="167" formatCode="&quot;$&quot;#,##0"/>
    </dxf>
    <dxf>
      <numFmt numFmtId="167" formatCode="&quot;$&quot;#,##0"/>
    </dxf>
    <dxf>
      <font>
        <sz val="12"/>
      </font>
    </dxf>
    <dxf>
      <font>
        <sz val="12"/>
      </font>
    </dxf>
    <dxf>
      <font>
        <sz val="12"/>
      </font>
    </dxf>
    <dxf>
      <font>
        <sz val="12"/>
      </font>
    </dxf>
    <dxf>
      <font>
        <name val="Amasis MT Pro"/>
        <family val="1"/>
      </font>
    </dxf>
    <dxf>
      <font>
        <name val="Amasis MT Pro"/>
        <family val="1"/>
      </font>
    </dxf>
    <dxf>
      <font>
        <sz val="12"/>
      </font>
    </dxf>
    <dxf>
      <numFmt numFmtId="167" formatCode="&quot;$&quot;#,##0"/>
    </dxf>
    <dxf>
      <alignment horizontal="right"/>
    </dxf>
    <dxf>
      <numFmt numFmtId="167" formatCode="&quot;$&quot;#,##0"/>
    </dxf>
    <dxf>
      <font>
        <sz val="12"/>
      </font>
    </dxf>
    <dxf>
      <font>
        <sz val="12"/>
      </font>
    </dxf>
    <dxf>
      <font>
        <sz val="12"/>
      </font>
    </dxf>
    <dxf>
      <font>
        <sz val="12"/>
      </font>
    </dxf>
    <dxf>
      <font>
        <sz val="12"/>
      </font>
    </dxf>
    <dxf>
      <numFmt numFmtId="167" formatCode="&quot;$&quot;#,##0"/>
    </dxf>
    <dxf>
      <font>
        <name val="Amasis MT Pro"/>
        <family val="1"/>
      </font>
    </dxf>
    <dxf>
      <font>
        <name val="Amasis MT Pro"/>
        <family val="1"/>
      </font>
    </dxf>
    <dxf>
      <font>
        <name val="Amasis MT Pro"/>
        <family val="1"/>
      </font>
    </dxf>
    <dxf>
      <font>
        <sz val="12"/>
      </font>
    </dxf>
    <dxf>
      <numFmt numFmtId="166" formatCode="0.0%"/>
    </dxf>
    <dxf>
      <numFmt numFmtId="167" formatCode="&quot;$&quot;#,##0"/>
    </dxf>
    <dxf>
      <numFmt numFmtId="167" formatCode="&quot;$&quot;#,##0"/>
    </dxf>
    <dxf>
      <numFmt numFmtId="166" formatCode="0.0%"/>
    </dxf>
    <dxf>
      <font>
        <sz val="12"/>
      </font>
    </dxf>
    <dxf>
      <font>
        <sz val="12"/>
      </font>
    </dxf>
    <dxf>
      <font>
        <sz val="12"/>
      </font>
    </dxf>
    <dxf>
      <font>
        <sz val="12"/>
      </font>
    </dxf>
    <dxf>
      <font>
        <name val="Amasis MT Pro"/>
        <family val="1"/>
      </font>
    </dxf>
    <dxf>
      <font>
        <name val="Amasis MT Pro"/>
        <family val="1"/>
      </font>
    </dxf>
    <dxf>
      <font>
        <sz val="12"/>
      </font>
    </dxf>
    <dxf>
      <alignment horizontal="right"/>
    </dxf>
    <dxf>
      <alignment horizontal="right"/>
    </dxf>
    <dxf>
      <alignment horizontal="right"/>
    </dxf>
    <dxf>
      <alignment vertical="center"/>
    </dxf>
    <dxf>
      <alignment vertical="center"/>
    </dxf>
    <dxf>
      <numFmt numFmtId="167" formatCode="&quot;$&quot;#,##0"/>
    </dxf>
    <dxf>
      <numFmt numFmtId="167" formatCode="&quot;$&quot;#,##0"/>
    </dxf>
    <dxf>
      <numFmt numFmtId="167" formatCode="&quot;$&quot;#,##0"/>
    </dxf>
    <dxf>
      <font>
        <sz val="12"/>
      </font>
    </dxf>
    <dxf>
      <font>
        <sz val="12"/>
      </font>
    </dxf>
    <dxf>
      <font>
        <sz val="12"/>
      </font>
    </dxf>
    <dxf>
      <font>
        <sz val="12"/>
      </font>
    </dxf>
    <dxf>
      <font>
        <name val="Amasis MT Pro"/>
        <family val="1"/>
      </font>
    </dxf>
    <dxf>
      <font>
        <name val="Amasis MT Pro"/>
        <family val="1"/>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alignment horizontal="center"/>
    </dxf>
    <dxf>
      <font>
        <sz val="12"/>
      </font>
    </dxf>
    <dxf>
      <font>
        <sz val="12"/>
      </font>
    </dxf>
    <dxf>
      <font>
        <sz val="12"/>
      </font>
    </dxf>
    <dxf>
      <numFmt numFmtId="167" formatCode="&quot;$&quot;#,##0"/>
    </dxf>
    <dxf>
      <numFmt numFmtId="167" formatCode="&quot;$&quot;#,##0"/>
    </dxf>
    <dxf>
      <numFmt numFmtId="166" formatCode="0.0%"/>
    </dxf>
    <dxf>
      <fill>
        <patternFill patternType="none">
          <bgColor auto="1"/>
        </patternFill>
      </fill>
    </dxf>
    <dxf>
      <fill>
        <patternFill patternType="none">
          <bgColor auto="1"/>
        </patternFill>
      </fill>
    </dxf>
    <dxf>
      <font>
        <name val="Amasis MT Pro"/>
        <family val="1"/>
      </font>
    </dxf>
    <dxf>
      <font>
        <name val="Amasis MT Pro"/>
        <family val="1"/>
      </font>
    </dxf>
    <dxf>
      <font>
        <name val="Amasis MT Pro"/>
        <family val="1"/>
      </font>
    </dxf>
    <dxf>
      <font>
        <sz val="12"/>
      </font>
    </dxf>
    <dxf>
      <font>
        <sz val="12"/>
      </font>
    </dxf>
    <dxf>
      <font>
        <sz val="12"/>
      </font>
    </dxf>
    <dxf>
      <font>
        <sz val="12"/>
      </font>
    </dxf>
    <dxf>
      <font>
        <sz val="12"/>
      </font>
    </dxf>
    <dxf>
      <font>
        <sz val="12"/>
      </font>
    </dxf>
    <dxf>
      <font>
        <sz val="12"/>
      </font>
    </dxf>
    <dxf>
      <font>
        <sz val="12"/>
      </font>
    </dxf>
    <dxf>
      <numFmt numFmtId="167" formatCode="&quot;$&quot;#,##0"/>
    </dxf>
    <dxf>
      <numFmt numFmtId="167" formatCode="&quot;$&quot;#,##0"/>
    </dxf>
    <dxf>
      <font>
        <name val="Amasis MT Pro"/>
        <family val="1"/>
      </font>
    </dxf>
    <dxf>
      <font>
        <name val="Amasis MT Pro"/>
        <family val="1"/>
      </font>
    </dxf>
    <dxf>
      <font>
        <name val="Amasis MT Pro"/>
        <family val="1"/>
      </font>
    </dxf>
    <dxf>
      <font>
        <sz val="12"/>
      </font>
    </dxf>
    <dxf>
      <font>
        <color rgb="FF9C0006"/>
      </font>
      <fill>
        <patternFill>
          <bgColor rgb="FFFFC7CE"/>
        </patternFill>
      </fill>
    </dxf>
    <dxf>
      <font>
        <sz val="12"/>
      </font>
    </dxf>
    <dxf>
      <font>
        <sz val="12"/>
      </font>
    </dxf>
    <dxf>
      <font>
        <sz val="12"/>
      </font>
    </dxf>
    <dxf>
      <font>
        <sz val="12"/>
      </font>
    </dxf>
    <dxf>
      <font>
        <sz val="12"/>
      </font>
    </dxf>
    <dxf>
      <numFmt numFmtId="167" formatCode="&quot;$&quot;#,##0"/>
    </dxf>
    <dxf>
      <font>
        <name val="Amasis MT Pro"/>
        <family val="1"/>
      </font>
    </dxf>
    <dxf>
      <font>
        <name val="Amasis MT Pro"/>
        <family val="1"/>
      </font>
    </dxf>
    <dxf>
      <font>
        <name val="Amasis MT Pro"/>
        <family val="1"/>
      </font>
    </dxf>
    <dxf>
      <font>
        <sz val="12"/>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 hh:mm"/>
    </dxf>
    <dxf>
      <numFmt numFmtId="27" formatCode="dd/mm/yy\ hh:mm"/>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Invisible" pivot="0" table="0" count="0" xr9:uid="{A486BBED-B03D-4E8E-AE7B-B2AC4EBB0543}"/>
    <tableStyle name="SlicerStyleLight1 2" pivot="0" table="0" count="10" xr9:uid="{039017B0-C502-4AAA-8650-3EDC5363A841}">
      <tableStyleElement type="wholeTable" dxfId="1820"/>
      <tableStyleElement type="headerRow" dxfId="181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[shoe_sales_raw_analysis.xlsx]Analysis!PivotTable3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a:solidFill>
                  <a:srgbClr val="002060"/>
                </a:solidFill>
              </a:rPr>
              <a:t>Monthly Revenue &amp; Profit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FF0000"/>
            </a:solidFill>
            <a:round/>
          </a:ln>
          <a:effectLst/>
        </c:spPr>
        <c:marker>
          <c:symbol val="circle"/>
          <c:size val="5"/>
          <c:spPr>
            <a:solidFill>
              <a:srgbClr val="00206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02060"/>
            </a:solidFill>
            <a:round/>
          </a:ln>
          <a:effectLst/>
        </c:spPr>
        <c:marker>
          <c:symbol val="circle"/>
          <c:size val="5"/>
          <c:spPr>
            <a:solidFill>
              <a:srgbClr val="FF0000"/>
            </a:solidFill>
            <a:ln w="9525">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Analysis!$K$3</c:f>
              <c:strCache>
                <c:ptCount val="1"/>
                <c:pt idx="0">
                  <c:v>Revenue </c:v>
                </c:pt>
              </c:strCache>
            </c:strRef>
          </c:tx>
          <c:spPr>
            <a:ln w="28575" cap="rnd">
              <a:solidFill>
                <a:srgbClr val="FF0000"/>
              </a:solidFill>
              <a:round/>
            </a:ln>
            <a:effectLst/>
          </c:spPr>
          <c:marker>
            <c:symbol val="circle"/>
            <c:size val="5"/>
            <c:spPr>
              <a:solidFill>
                <a:srgbClr val="002060"/>
              </a:solidFill>
              <a:ln w="9525">
                <a:solidFill>
                  <a:schemeClr val="accent1"/>
                </a:solidFill>
              </a:ln>
              <a:effectLst/>
            </c:spPr>
          </c:marker>
          <c:cat>
            <c:strRef>
              <c:f>Analysis!$J$4:$J$12</c:f>
              <c:strCache>
                <c:ptCount val="8"/>
                <c:pt idx="0">
                  <c:v>Jan</c:v>
                </c:pt>
                <c:pt idx="1">
                  <c:v>Feb</c:v>
                </c:pt>
                <c:pt idx="2">
                  <c:v>Mar</c:v>
                </c:pt>
                <c:pt idx="3">
                  <c:v>Apr</c:v>
                </c:pt>
                <c:pt idx="4">
                  <c:v>May</c:v>
                </c:pt>
                <c:pt idx="5">
                  <c:v>Jun</c:v>
                </c:pt>
                <c:pt idx="6">
                  <c:v>Jul</c:v>
                </c:pt>
                <c:pt idx="7">
                  <c:v>Aug</c:v>
                </c:pt>
              </c:strCache>
            </c:strRef>
          </c:cat>
          <c:val>
            <c:numRef>
              <c:f>Analysis!$K$4:$K$12</c:f>
              <c:numCache>
                <c:formatCode>"$"#,##0</c:formatCode>
                <c:ptCount val="8"/>
                <c:pt idx="0">
                  <c:v>43801</c:v>
                </c:pt>
                <c:pt idx="1">
                  <c:v>40664</c:v>
                </c:pt>
                <c:pt idx="2">
                  <c:v>45492</c:v>
                </c:pt>
                <c:pt idx="3">
                  <c:v>44204</c:v>
                </c:pt>
                <c:pt idx="4">
                  <c:v>44578</c:v>
                </c:pt>
                <c:pt idx="5">
                  <c:v>70771</c:v>
                </c:pt>
                <c:pt idx="6">
                  <c:v>49497</c:v>
                </c:pt>
                <c:pt idx="7">
                  <c:v>16041</c:v>
                </c:pt>
              </c:numCache>
            </c:numRef>
          </c:val>
          <c:smooth val="0"/>
          <c:extLst>
            <c:ext xmlns:c16="http://schemas.microsoft.com/office/drawing/2014/chart" uri="{C3380CC4-5D6E-409C-BE32-E72D297353CC}">
              <c16:uniqueId val="{00000000-3B59-4C2B-BC3E-47162FA1601A}"/>
            </c:ext>
          </c:extLst>
        </c:ser>
        <c:ser>
          <c:idx val="1"/>
          <c:order val="1"/>
          <c:tx>
            <c:strRef>
              <c:f>Analysis!$L$3</c:f>
              <c:strCache>
                <c:ptCount val="1"/>
                <c:pt idx="0">
                  <c:v>Profit </c:v>
                </c:pt>
              </c:strCache>
            </c:strRef>
          </c:tx>
          <c:spPr>
            <a:ln w="28575" cap="rnd">
              <a:solidFill>
                <a:srgbClr val="002060"/>
              </a:solidFill>
              <a:round/>
            </a:ln>
            <a:effectLst/>
          </c:spPr>
          <c:marker>
            <c:symbol val="circle"/>
            <c:size val="5"/>
            <c:spPr>
              <a:solidFill>
                <a:srgbClr val="FF0000"/>
              </a:solidFill>
              <a:ln w="9525">
                <a:solidFill>
                  <a:srgbClr val="002060"/>
                </a:solidFill>
              </a:ln>
              <a:effectLst/>
            </c:spPr>
          </c:marker>
          <c:cat>
            <c:strRef>
              <c:f>Analysis!$J$4:$J$12</c:f>
              <c:strCache>
                <c:ptCount val="8"/>
                <c:pt idx="0">
                  <c:v>Jan</c:v>
                </c:pt>
                <c:pt idx="1">
                  <c:v>Feb</c:v>
                </c:pt>
                <c:pt idx="2">
                  <c:v>Mar</c:v>
                </c:pt>
                <c:pt idx="3">
                  <c:v>Apr</c:v>
                </c:pt>
                <c:pt idx="4">
                  <c:v>May</c:v>
                </c:pt>
                <c:pt idx="5">
                  <c:v>Jun</c:v>
                </c:pt>
                <c:pt idx="6">
                  <c:v>Jul</c:v>
                </c:pt>
                <c:pt idx="7">
                  <c:v>Aug</c:v>
                </c:pt>
              </c:strCache>
            </c:strRef>
          </c:cat>
          <c:val>
            <c:numRef>
              <c:f>Analysis!$L$4:$L$12</c:f>
              <c:numCache>
                <c:formatCode>"$"#,##0</c:formatCode>
                <c:ptCount val="8"/>
                <c:pt idx="0">
                  <c:v>20299</c:v>
                </c:pt>
                <c:pt idx="1">
                  <c:v>18698</c:v>
                </c:pt>
                <c:pt idx="2">
                  <c:v>20869</c:v>
                </c:pt>
                <c:pt idx="3">
                  <c:v>20067</c:v>
                </c:pt>
                <c:pt idx="4">
                  <c:v>20407</c:v>
                </c:pt>
                <c:pt idx="5">
                  <c:v>32123</c:v>
                </c:pt>
                <c:pt idx="6">
                  <c:v>22517</c:v>
                </c:pt>
                <c:pt idx="7">
                  <c:v>7355</c:v>
                </c:pt>
              </c:numCache>
            </c:numRef>
          </c:val>
          <c:smooth val="0"/>
          <c:extLst>
            <c:ext xmlns:c16="http://schemas.microsoft.com/office/drawing/2014/chart" uri="{C3380CC4-5D6E-409C-BE32-E72D297353CC}">
              <c16:uniqueId val="{00000001-3B59-4C2B-BC3E-47162FA1601A}"/>
            </c:ext>
          </c:extLst>
        </c:ser>
        <c:dLbls>
          <c:showLegendKey val="0"/>
          <c:showVal val="0"/>
          <c:showCatName val="0"/>
          <c:showSerName val="0"/>
          <c:showPercent val="0"/>
          <c:showBubbleSize val="0"/>
        </c:dLbls>
        <c:marker val="1"/>
        <c:smooth val="0"/>
        <c:axId val="1487540415"/>
        <c:axId val="1223212895"/>
      </c:lineChart>
      <c:catAx>
        <c:axId val="148754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002060"/>
                </a:solidFill>
                <a:latin typeface="+mn-lt"/>
                <a:ea typeface="+mn-ea"/>
                <a:cs typeface="+mn-cs"/>
              </a:defRPr>
            </a:pPr>
            <a:endParaRPr lang="en-US"/>
          </a:p>
        </c:txPr>
        <c:crossAx val="1223212895"/>
        <c:crosses val="autoZero"/>
        <c:auto val="1"/>
        <c:lblAlgn val="ctr"/>
        <c:lblOffset val="100"/>
        <c:noMultiLvlLbl val="0"/>
      </c:catAx>
      <c:valAx>
        <c:axId val="1223212895"/>
        <c:scaling>
          <c:orientation val="minMax"/>
          <c:max val="80000"/>
          <c:min val="5000"/>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487540415"/>
        <c:crosses val="autoZero"/>
        <c:crossBetween val="between"/>
        <c:majorUnit val="25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[shoe_sales_raw_analysis.xlsx]Analysis!PivotTable6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rgbClr val="002060"/>
                </a:solidFill>
                <a:effectLst/>
              </a:rPr>
              <a:t>Profitability by Product </a:t>
            </a:r>
            <a:endParaRPr lang="en-GB" b="1">
              <a:solidFill>
                <a:srgbClr val="002060"/>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rgbClr val="002060"/>
          </a:solidFill>
          <a:ln>
            <a:noFill/>
          </a:ln>
          <a:effectLst/>
        </c:spPr>
        <c:marker>
          <c:symbol val="none"/>
        </c:marker>
        <c:dLbl>
          <c:idx val="0"/>
          <c:delete val="1"/>
          <c:extLst>
            <c:ext xmlns:c15="http://schemas.microsoft.com/office/drawing/2012/chart" uri="{CE6537A1-D6FC-4f65-9D91-7224C49458BB}"/>
          </c:extLst>
        </c:dLbl>
      </c:pivotFmt>
      <c:pivotFmt>
        <c:idx val="7"/>
        <c:spPr>
          <a:ln w="15875" cap="rnd">
            <a:solidFill>
              <a:srgbClr val="FF0000"/>
            </a:solidFill>
            <a:round/>
          </a:ln>
          <a:effectLst/>
        </c:spPr>
        <c:marker>
          <c:symbol val="circle"/>
          <c:size val="4"/>
          <c:spPr>
            <a:solidFill>
              <a:srgbClr val="FF0000"/>
            </a:solidFill>
            <a:ln>
              <a:noFill/>
            </a:ln>
          </c:spPr>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Analysis!$AH$3</c:f>
              <c:strCache>
                <c:ptCount val="1"/>
                <c:pt idx="0">
                  <c:v>Profit </c:v>
                </c:pt>
              </c:strCache>
            </c:strRef>
          </c:tx>
          <c:spPr>
            <a:solidFill>
              <a:srgbClr val="002060"/>
            </a:solidFill>
            <a:ln>
              <a:noFill/>
            </a:ln>
            <a:effectLst/>
          </c:spPr>
          <c:invertIfNegative val="0"/>
          <c:cat>
            <c:strRef>
              <c:f>Analysis!$AG$4:$AG$12</c:f>
              <c:strCache>
                <c:ptCount val="8"/>
                <c:pt idx="0">
                  <c:v>Canvas</c:v>
                </c:pt>
                <c:pt idx="1">
                  <c:v>Oxford</c:v>
                </c:pt>
                <c:pt idx="2">
                  <c:v>Brogues</c:v>
                </c:pt>
                <c:pt idx="3">
                  <c:v>Monk Straps</c:v>
                </c:pt>
                <c:pt idx="4">
                  <c:v>Boots</c:v>
                </c:pt>
                <c:pt idx="5">
                  <c:v>Slippers</c:v>
                </c:pt>
                <c:pt idx="6">
                  <c:v>Loafers</c:v>
                </c:pt>
                <c:pt idx="7">
                  <c:v>Derby</c:v>
                </c:pt>
              </c:strCache>
            </c:strRef>
          </c:cat>
          <c:val>
            <c:numRef>
              <c:f>Analysis!$AH$4:$AH$12</c:f>
              <c:numCache>
                <c:formatCode>"$"#,##0</c:formatCode>
                <c:ptCount val="8"/>
                <c:pt idx="0">
                  <c:v>27776</c:v>
                </c:pt>
                <c:pt idx="1">
                  <c:v>26367</c:v>
                </c:pt>
                <c:pt idx="2">
                  <c:v>25104</c:v>
                </c:pt>
                <c:pt idx="3">
                  <c:v>24150</c:v>
                </c:pt>
                <c:pt idx="4">
                  <c:v>19980</c:v>
                </c:pt>
                <c:pt idx="5">
                  <c:v>17784</c:v>
                </c:pt>
                <c:pt idx="6">
                  <c:v>11778</c:v>
                </c:pt>
                <c:pt idx="7">
                  <c:v>9396</c:v>
                </c:pt>
              </c:numCache>
            </c:numRef>
          </c:val>
          <c:extLst>
            <c:ext xmlns:c16="http://schemas.microsoft.com/office/drawing/2014/chart" uri="{C3380CC4-5D6E-409C-BE32-E72D297353CC}">
              <c16:uniqueId val="{0000000C-1952-4E76-BEB6-C4A2039C0880}"/>
            </c:ext>
          </c:extLst>
        </c:ser>
        <c:dLbls>
          <c:showLegendKey val="0"/>
          <c:showVal val="0"/>
          <c:showCatName val="0"/>
          <c:showSerName val="0"/>
          <c:showPercent val="0"/>
          <c:showBubbleSize val="0"/>
        </c:dLbls>
        <c:gapWidth val="219"/>
        <c:axId val="827586751"/>
        <c:axId val="1594391775"/>
      </c:barChart>
      <c:lineChart>
        <c:grouping val="standard"/>
        <c:varyColors val="0"/>
        <c:ser>
          <c:idx val="1"/>
          <c:order val="1"/>
          <c:tx>
            <c:strRef>
              <c:f>Analysis!$AI$3</c:f>
              <c:strCache>
                <c:ptCount val="1"/>
                <c:pt idx="0">
                  <c:v>% Profit Margin</c:v>
                </c:pt>
              </c:strCache>
            </c:strRef>
          </c:tx>
          <c:spPr>
            <a:ln w="15875" cap="rnd">
              <a:solidFill>
                <a:srgbClr val="FF0000"/>
              </a:solidFill>
              <a:round/>
            </a:ln>
            <a:effectLst/>
          </c:spPr>
          <c:marker>
            <c:symbol val="circle"/>
            <c:size val="4"/>
            <c:spPr>
              <a:solidFill>
                <a:srgbClr val="FF0000"/>
              </a:solidFill>
              <a:ln>
                <a:noFill/>
              </a:ln>
            </c:spPr>
          </c:marker>
          <c:cat>
            <c:strRef>
              <c:f>Analysis!$AG$4:$AG$12</c:f>
              <c:strCache>
                <c:ptCount val="8"/>
                <c:pt idx="0">
                  <c:v>Canvas</c:v>
                </c:pt>
                <c:pt idx="1">
                  <c:v>Oxford</c:v>
                </c:pt>
                <c:pt idx="2">
                  <c:v>Brogues</c:v>
                </c:pt>
                <c:pt idx="3">
                  <c:v>Monk Straps</c:v>
                </c:pt>
                <c:pt idx="4">
                  <c:v>Boots</c:v>
                </c:pt>
                <c:pt idx="5">
                  <c:v>Slippers</c:v>
                </c:pt>
                <c:pt idx="6">
                  <c:v>Loafers</c:v>
                </c:pt>
                <c:pt idx="7">
                  <c:v>Derby</c:v>
                </c:pt>
              </c:strCache>
            </c:strRef>
          </c:cat>
          <c:val>
            <c:numRef>
              <c:f>Analysis!$AI$4:$AI$12</c:f>
              <c:numCache>
                <c:formatCode>0.0%</c:formatCode>
                <c:ptCount val="8"/>
                <c:pt idx="0">
                  <c:v>0.4375</c:v>
                </c:pt>
                <c:pt idx="1">
                  <c:v>0.44761904761904764</c:v>
                </c:pt>
                <c:pt idx="2">
                  <c:v>0.42857142857142855</c:v>
                </c:pt>
                <c:pt idx="3">
                  <c:v>0.47191011235955055</c:v>
                </c:pt>
                <c:pt idx="4">
                  <c:v>0.48684210526315791</c:v>
                </c:pt>
                <c:pt idx="5">
                  <c:v>0.43697478991596639</c:v>
                </c:pt>
                <c:pt idx="6">
                  <c:v>0.48148148148148145</c:v>
                </c:pt>
                <c:pt idx="7">
                  <c:v>0.5625</c:v>
                </c:pt>
              </c:numCache>
            </c:numRef>
          </c:val>
          <c:smooth val="0"/>
          <c:extLst>
            <c:ext xmlns:c16="http://schemas.microsoft.com/office/drawing/2014/chart" uri="{C3380CC4-5D6E-409C-BE32-E72D297353CC}">
              <c16:uniqueId val="{0000000E-1952-4E76-BEB6-C4A2039C0880}"/>
            </c:ext>
          </c:extLst>
        </c:ser>
        <c:dLbls>
          <c:showLegendKey val="0"/>
          <c:showVal val="0"/>
          <c:showCatName val="0"/>
          <c:showSerName val="0"/>
          <c:showPercent val="0"/>
          <c:showBubbleSize val="0"/>
        </c:dLbls>
        <c:marker val="1"/>
        <c:smooth val="0"/>
        <c:axId val="1494708511"/>
        <c:axId val="1594396095"/>
      </c:lineChart>
      <c:catAx>
        <c:axId val="827586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594391775"/>
        <c:crosses val="autoZero"/>
        <c:auto val="1"/>
        <c:lblAlgn val="ctr"/>
        <c:lblOffset val="100"/>
        <c:noMultiLvlLbl val="0"/>
      </c:catAx>
      <c:valAx>
        <c:axId val="1594391775"/>
        <c:scaling>
          <c:orientation val="minMax"/>
          <c:min val="5000"/>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827586751"/>
        <c:crosses val="autoZero"/>
        <c:crossBetween val="between"/>
      </c:valAx>
      <c:valAx>
        <c:axId val="1594396095"/>
        <c:scaling>
          <c:orientation val="minMax"/>
          <c:max val="0.55000000000000004"/>
          <c:min val="0.35000000000000003"/>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494708511"/>
        <c:crosses val="max"/>
        <c:crossBetween val="between"/>
        <c:majorUnit val="5.000000000000001E-2"/>
      </c:valAx>
      <c:catAx>
        <c:axId val="1494708511"/>
        <c:scaling>
          <c:orientation val="minMax"/>
        </c:scaling>
        <c:delete val="1"/>
        <c:axPos val="b"/>
        <c:numFmt formatCode="General" sourceLinked="1"/>
        <c:majorTickMark val="out"/>
        <c:minorTickMark val="none"/>
        <c:tickLblPos val="nextTo"/>
        <c:crossAx val="1594396095"/>
        <c:crosses val="autoZero"/>
        <c:auto val="1"/>
        <c:lblAlgn val="ctr"/>
        <c:lblOffset val="100"/>
        <c:noMultiLvlLbl val="0"/>
      </c:catAx>
    </c:plotArea>
    <c:legend>
      <c:legendPos val="b"/>
      <c:legendEntry>
        <c:idx val="0"/>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[shoe_sales_raw_analysis.xlsx]Analysis!PivotTable8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rgbClr val="002060"/>
                </a:solidFill>
              </a:rPr>
              <a:t>Revenue &amp; Profit by</a:t>
            </a:r>
            <a:r>
              <a:rPr lang="en-GB" b="1" baseline="0">
                <a:solidFill>
                  <a:srgbClr val="002060"/>
                </a:solidFill>
              </a:rPr>
              <a:t> Brand</a:t>
            </a:r>
            <a:endParaRPr lang="en-GB"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rgbClr val="FF000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91831004224297E-2"/>
          <c:y val="0.16399307081484552"/>
          <c:w val="0.92284600487831958"/>
          <c:h val="0.48848890240194587"/>
        </c:manualLayout>
      </c:layout>
      <c:barChart>
        <c:barDir val="col"/>
        <c:grouping val="clustered"/>
        <c:varyColors val="0"/>
        <c:ser>
          <c:idx val="0"/>
          <c:order val="0"/>
          <c:tx>
            <c:strRef>
              <c:f>Analysis!$AU$3</c:f>
              <c:strCache>
                <c:ptCount val="1"/>
                <c:pt idx="0">
                  <c:v>Revenue </c:v>
                </c:pt>
              </c:strCache>
            </c:strRef>
          </c:tx>
          <c:spPr>
            <a:solidFill>
              <a:srgbClr val="FF000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Analysis!$AT$4:$AT$9</c:f>
              <c:strCache>
                <c:ptCount val="5"/>
                <c:pt idx="0">
                  <c:v>Clarks</c:v>
                </c:pt>
                <c:pt idx="1">
                  <c:v>Zara</c:v>
                </c:pt>
                <c:pt idx="2">
                  <c:v>Nike</c:v>
                </c:pt>
                <c:pt idx="3">
                  <c:v>Steve Madden</c:v>
                </c:pt>
                <c:pt idx="4">
                  <c:v>Timberland</c:v>
                </c:pt>
              </c:strCache>
            </c:strRef>
          </c:cat>
          <c:val>
            <c:numRef>
              <c:f>Analysis!$AU$4:$AU$9</c:f>
              <c:numCache>
                <c:formatCode>"$"#,##0</c:formatCode>
                <c:ptCount val="5"/>
                <c:pt idx="0">
                  <c:v>123543</c:v>
                </c:pt>
                <c:pt idx="1">
                  <c:v>94797</c:v>
                </c:pt>
                <c:pt idx="2">
                  <c:v>54029</c:v>
                </c:pt>
                <c:pt idx="3">
                  <c:v>43855</c:v>
                </c:pt>
                <c:pt idx="4">
                  <c:v>38824</c:v>
                </c:pt>
              </c:numCache>
            </c:numRef>
          </c:val>
          <c:extLst>
            <c:ext xmlns:c16="http://schemas.microsoft.com/office/drawing/2014/chart" uri="{C3380CC4-5D6E-409C-BE32-E72D297353CC}">
              <c16:uniqueId val="{00000000-A5FA-46BF-8386-DEC0A1C04FBC}"/>
            </c:ext>
          </c:extLst>
        </c:ser>
        <c:ser>
          <c:idx val="1"/>
          <c:order val="1"/>
          <c:tx>
            <c:strRef>
              <c:f>Analysis!$AV$3</c:f>
              <c:strCache>
                <c:ptCount val="1"/>
                <c:pt idx="0">
                  <c:v>Profit </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Analysis!$AT$4:$AT$9</c:f>
              <c:strCache>
                <c:ptCount val="5"/>
                <c:pt idx="0">
                  <c:v>Clarks</c:v>
                </c:pt>
                <c:pt idx="1">
                  <c:v>Zara</c:v>
                </c:pt>
                <c:pt idx="2">
                  <c:v>Nike</c:v>
                </c:pt>
                <c:pt idx="3">
                  <c:v>Steve Madden</c:v>
                </c:pt>
                <c:pt idx="4">
                  <c:v>Timberland</c:v>
                </c:pt>
              </c:strCache>
            </c:strRef>
          </c:cat>
          <c:val>
            <c:numRef>
              <c:f>Analysis!$AV$4:$AV$9</c:f>
              <c:numCache>
                <c:formatCode>"$"#,##0</c:formatCode>
                <c:ptCount val="5"/>
                <c:pt idx="0">
                  <c:v>56574</c:v>
                </c:pt>
                <c:pt idx="1">
                  <c:v>43424</c:v>
                </c:pt>
                <c:pt idx="2">
                  <c:v>24513</c:v>
                </c:pt>
                <c:pt idx="3">
                  <c:v>19932</c:v>
                </c:pt>
                <c:pt idx="4">
                  <c:v>17892</c:v>
                </c:pt>
              </c:numCache>
            </c:numRef>
          </c:val>
          <c:extLst>
            <c:ext xmlns:c16="http://schemas.microsoft.com/office/drawing/2014/chart" uri="{C3380CC4-5D6E-409C-BE32-E72D297353CC}">
              <c16:uniqueId val="{00000001-A5FA-46BF-8386-DEC0A1C04FBC}"/>
            </c:ext>
          </c:extLst>
        </c:ser>
        <c:dLbls>
          <c:dLblPos val="outEnd"/>
          <c:showLegendKey val="0"/>
          <c:showVal val="1"/>
          <c:showCatName val="0"/>
          <c:showSerName val="0"/>
          <c:showPercent val="0"/>
          <c:showBubbleSize val="0"/>
        </c:dLbls>
        <c:gapWidth val="219"/>
        <c:overlap val="-27"/>
        <c:axId val="1279840623"/>
        <c:axId val="1594385055"/>
      </c:barChart>
      <c:catAx>
        <c:axId val="12798406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1620000" spcFirstLastPara="1" vertOverflow="ellipsis" wrap="square" anchor="ctr" anchorCtr="1"/>
          <a:lstStyle/>
          <a:p>
            <a:pPr>
              <a:defRPr sz="900" b="0" i="0" u="none" strike="noStrike" kern="1200" baseline="0">
                <a:solidFill>
                  <a:srgbClr val="002060"/>
                </a:solidFill>
                <a:latin typeface="+mn-lt"/>
                <a:ea typeface="+mn-ea"/>
                <a:cs typeface="+mn-cs"/>
              </a:defRPr>
            </a:pPr>
            <a:endParaRPr lang="en-US"/>
          </a:p>
        </c:txPr>
        <c:crossAx val="1594385055"/>
        <c:crosses val="autoZero"/>
        <c:auto val="1"/>
        <c:lblAlgn val="ctr"/>
        <c:lblOffset val="100"/>
        <c:noMultiLvlLbl val="0"/>
      </c:catAx>
      <c:valAx>
        <c:axId val="1594385055"/>
        <c:scaling>
          <c:orientation val="minMax"/>
          <c:max val="140000"/>
          <c:min val="10000"/>
        </c:scaling>
        <c:delete val="1"/>
        <c:axPos val="l"/>
        <c:numFmt formatCode="&quot;$&quot;#,##0" sourceLinked="1"/>
        <c:majorTickMark val="out"/>
        <c:minorTickMark val="none"/>
        <c:tickLblPos val="nextTo"/>
        <c:crossAx val="12798406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[shoe_sales_raw_analysis.xlsx]Analysis!PivotTable9</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Distribution</a:t>
            </a:r>
            <a:r>
              <a:rPr lang="en-US" b="1" baseline="0">
                <a:solidFill>
                  <a:srgbClr val="002060"/>
                </a:solidFill>
              </a:rPr>
              <a:t> of </a:t>
            </a:r>
            <a:r>
              <a:rPr lang="en-US" b="1">
                <a:solidFill>
                  <a:srgbClr val="002060"/>
                </a:solidFill>
              </a:rPr>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w="19050">
            <a:noFill/>
          </a:ln>
          <a:effectLst/>
        </c:spPr>
        <c:dLbl>
          <c:idx val="0"/>
          <c:layout>
            <c:manualLayout>
              <c:x val="0.1694453371404844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00B0F0"/>
          </a:solidFill>
          <a:ln w="19050">
            <a:noFill/>
          </a:ln>
          <a:effectLst/>
        </c:spPr>
        <c:dLbl>
          <c:idx val="0"/>
          <c:layout>
            <c:manualLayout>
              <c:x val="-0.15630298703994949"/>
              <c:y val="5.36623589140415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7030A0"/>
          </a:solidFill>
          <a:ln w="19050">
            <a:noFill/>
          </a:ln>
          <a:effectLst/>
        </c:spPr>
        <c:dLbl>
          <c:idx val="0"/>
          <c:layout>
            <c:manualLayout>
              <c:x val="-0.23793196613379827"/>
              <c:y val="-6.391908022454420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0B050"/>
          </a:solidFill>
          <a:ln w="19050">
            <a:noFill/>
          </a:ln>
          <a:effectLst/>
        </c:spPr>
        <c:dLbl>
          <c:idx val="0"/>
          <c:layout>
            <c:manualLayout>
              <c:x val="-0.18323696956080301"/>
              <c:y val="-4.49741109594356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Analysis!$BE$3</c:f>
              <c:strCache>
                <c:ptCount val="1"/>
                <c:pt idx="0">
                  <c:v>Total</c:v>
                </c:pt>
              </c:strCache>
            </c:strRef>
          </c:tx>
          <c:spPr>
            <a:ln>
              <a:noFill/>
            </a:ln>
          </c:spPr>
          <c:dPt>
            <c:idx val="0"/>
            <c:bubble3D val="0"/>
            <c:spPr>
              <a:solidFill>
                <a:srgbClr val="FF0000"/>
              </a:solidFill>
              <a:ln w="19050">
                <a:noFill/>
              </a:ln>
              <a:effectLst/>
            </c:spPr>
            <c:extLst>
              <c:ext xmlns:c16="http://schemas.microsoft.com/office/drawing/2014/chart" uri="{C3380CC4-5D6E-409C-BE32-E72D297353CC}">
                <c16:uniqueId val="{00000004-2FE9-4894-B8E5-733760BC3F81}"/>
              </c:ext>
            </c:extLst>
          </c:dPt>
          <c:dPt>
            <c:idx val="1"/>
            <c:bubble3D val="0"/>
            <c:spPr>
              <a:solidFill>
                <a:srgbClr val="00B0F0"/>
              </a:solidFill>
              <a:ln w="19050">
                <a:noFill/>
              </a:ln>
              <a:effectLst/>
            </c:spPr>
            <c:extLst>
              <c:ext xmlns:c16="http://schemas.microsoft.com/office/drawing/2014/chart" uri="{C3380CC4-5D6E-409C-BE32-E72D297353CC}">
                <c16:uniqueId val="{00000003-2FE9-4894-B8E5-733760BC3F81}"/>
              </c:ext>
            </c:extLst>
          </c:dPt>
          <c:dPt>
            <c:idx val="2"/>
            <c:bubble3D val="0"/>
            <c:spPr>
              <a:solidFill>
                <a:srgbClr val="00B050"/>
              </a:solidFill>
              <a:ln w="19050">
                <a:noFill/>
              </a:ln>
              <a:effectLst/>
            </c:spPr>
            <c:extLst>
              <c:ext xmlns:c16="http://schemas.microsoft.com/office/drawing/2014/chart" uri="{C3380CC4-5D6E-409C-BE32-E72D297353CC}">
                <c16:uniqueId val="{00000006-2FE9-4894-B8E5-733760BC3F81}"/>
              </c:ext>
            </c:extLst>
          </c:dPt>
          <c:dPt>
            <c:idx val="3"/>
            <c:bubble3D val="0"/>
            <c:spPr>
              <a:solidFill>
                <a:srgbClr val="7030A0"/>
              </a:solidFill>
              <a:ln w="19050">
                <a:noFill/>
              </a:ln>
              <a:effectLst/>
            </c:spPr>
            <c:extLst>
              <c:ext xmlns:c16="http://schemas.microsoft.com/office/drawing/2014/chart" uri="{C3380CC4-5D6E-409C-BE32-E72D297353CC}">
                <c16:uniqueId val="{00000005-2FE9-4894-B8E5-733760BC3F81}"/>
              </c:ext>
            </c:extLst>
          </c:dPt>
          <c:dLbls>
            <c:dLbl>
              <c:idx val="0"/>
              <c:layout>
                <c:manualLayout>
                  <c:x val="0.16944533714048443"/>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2FE9-4894-B8E5-733760BC3F81}"/>
                </c:ext>
              </c:extLst>
            </c:dLbl>
            <c:dLbl>
              <c:idx val="1"/>
              <c:layout>
                <c:manualLayout>
                  <c:x val="-0.15630298703994949"/>
                  <c:y val="5.36623589140415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FE9-4894-B8E5-733760BC3F81}"/>
                </c:ext>
              </c:extLst>
            </c:dLbl>
            <c:dLbl>
              <c:idx val="2"/>
              <c:layout>
                <c:manualLayout>
                  <c:x val="-0.18323696956080301"/>
                  <c:y val="-4.497411095943561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2FE9-4894-B8E5-733760BC3F81}"/>
                </c:ext>
              </c:extLst>
            </c:dLbl>
            <c:dLbl>
              <c:idx val="3"/>
              <c:layout>
                <c:manualLayout>
                  <c:x val="-0.23793196613379827"/>
                  <c:y val="-6.391908022454420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FE9-4894-B8E5-733760BC3F8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rgbClr val="002060"/>
                  </a:solidFill>
                  <a:round/>
                </a:ln>
                <a:effectLst/>
              </c:spPr>
            </c:leaderLines>
            <c:extLst>
              <c:ext xmlns:c15="http://schemas.microsoft.com/office/drawing/2012/chart" uri="{CE6537A1-D6FC-4f65-9D91-7224C49458BB}"/>
            </c:extLst>
          </c:dLbls>
          <c:cat>
            <c:strRef>
              <c:f>Analysis!$BD$4:$BD$8</c:f>
              <c:strCache>
                <c:ptCount val="4"/>
                <c:pt idx="0">
                  <c:v>Formal</c:v>
                </c:pt>
                <c:pt idx="1">
                  <c:v>Casual</c:v>
                </c:pt>
                <c:pt idx="2">
                  <c:v>Open</c:v>
                </c:pt>
                <c:pt idx="3">
                  <c:v>Utility</c:v>
                </c:pt>
              </c:strCache>
            </c:strRef>
          </c:cat>
          <c:val>
            <c:numRef>
              <c:f>Analysis!$BE$4:$BE$8</c:f>
              <c:numCache>
                <c:formatCode>"$"#,##0</c:formatCode>
                <c:ptCount val="4"/>
                <c:pt idx="0">
                  <c:v>179935</c:v>
                </c:pt>
                <c:pt idx="1">
                  <c:v>82917</c:v>
                </c:pt>
                <c:pt idx="2">
                  <c:v>53035</c:v>
                </c:pt>
                <c:pt idx="3">
                  <c:v>39161</c:v>
                </c:pt>
              </c:numCache>
            </c:numRef>
          </c:val>
          <c:extLst>
            <c:ext xmlns:c16="http://schemas.microsoft.com/office/drawing/2014/chart" uri="{C3380CC4-5D6E-409C-BE32-E72D297353CC}">
              <c16:uniqueId val="{00000000-2FE9-4894-B8E5-733760BC3F81}"/>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[shoe_sales_raw_analysis.xlsx]Analysis!PivotTable10</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rgbClr val="002060"/>
                </a:solidFill>
              </a:rPr>
              <a:t>Top 5 Countries Driving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r">
                <a:defRPr sz="10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dLbl>
          <c:idx val="0"/>
          <c:layout>
            <c:manualLayout>
              <c:x val="2.2106554462847715E-2"/>
              <c:y val="-8.3428340135671328E-17"/>
            </c:manualLayout>
          </c:layout>
          <c:spPr>
            <a:noFill/>
            <a:ln>
              <a:noFill/>
            </a:ln>
            <a:effectLst/>
          </c:spPr>
          <c:txPr>
            <a:bodyPr rot="0" spcFirstLastPara="1" vertOverflow="ellipsis" vert="horz" wrap="square" lIns="38100" tIns="19050" rIns="38100" bIns="19050" anchor="ctr" anchorCtr="0">
              <a:spAutoFit/>
            </a:bodyPr>
            <a:lstStyle/>
            <a:p>
              <a:pPr algn="r">
                <a:defRPr sz="10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dLbl>
          <c:idx val="0"/>
          <c:layout>
            <c:manualLayout>
              <c:x val="2.2106554462847691E-2"/>
              <c:y val="0"/>
            </c:manualLayout>
          </c:layout>
          <c:spPr>
            <a:noFill/>
            <a:ln>
              <a:noFill/>
            </a:ln>
            <a:effectLst/>
          </c:spPr>
          <c:txPr>
            <a:bodyPr rot="0" spcFirstLastPara="1" vertOverflow="ellipsis" vert="horz" wrap="square" lIns="38100" tIns="19050" rIns="38100" bIns="19050" anchor="ctr" anchorCtr="0">
              <a:spAutoFit/>
            </a:bodyPr>
            <a:lstStyle/>
            <a:p>
              <a:pPr algn="r">
                <a:defRPr sz="10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dLbl>
          <c:idx val="0"/>
          <c:layout>
            <c:manualLayout>
              <c:x val="2.4869873770703679E-2"/>
              <c:y val="0"/>
            </c:manualLayout>
          </c:layout>
          <c:spPr>
            <a:noFill/>
            <a:ln>
              <a:noFill/>
            </a:ln>
            <a:effectLst/>
          </c:spPr>
          <c:txPr>
            <a:bodyPr rot="0" spcFirstLastPara="1" vertOverflow="ellipsis" vert="horz" wrap="square" lIns="38100" tIns="19050" rIns="38100" bIns="19050" anchor="ctr" anchorCtr="0">
              <a:spAutoFit/>
            </a:bodyPr>
            <a:lstStyle/>
            <a:p>
              <a:pPr algn="r">
                <a:defRPr sz="10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dLbl>
          <c:idx val="0"/>
          <c:layout>
            <c:manualLayout>
              <c:x val="2.7633193078559645E-2"/>
              <c:y val="-8.3428340135671328E-17"/>
            </c:manualLayout>
          </c:layout>
          <c:spPr>
            <a:noFill/>
            <a:ln>
              <a:noFill/>
            </a:ln>
            <a:effectLst/>
          </c:spPr>
          <c:txPr>
            <a:bodyPr rot="0" spcFirstLastPara="1" vertOverflow="ellipsis" vert="horz" wrap="square" lIns="38100" tIns="19050" rIns="38100" bIns="19050" anchor="ctr" anchorCtr="0">
              <a:spAutoFit/>
            </a:bodyPr>
            <a:lstStyle/>
            <a:p>
              <a:pPr algn="r">
                <a:defRPr sz="10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dLbl>
          <c:idx val="0"/>
          <c:layout>
            <c:manualLayout>
              <c:x val="1.6579915847135786E-2"/>
              <c:y val="-9.1013786080338058E-3"/>
            </c:manualLayout>
          </c:layout>
          <c:spPr>
            <a:noFill/>
            <a:ln>
              <a:noFill/>
            </a:ln>
            <a:effectLst/>
          </c:spPr>
          <c:txPr>
            <a:bodyPr rot="0" spcFirstLastPara="1" vertOverflow="ellipsis" vert="horz" wrap="square" lIns="38100" tIns="19050" rIns="38100" bIns="19050" anchor="ctr" anchorCtr="0">
              <a:spAutoFit/>
            </a:bodyPr>
            <a:lstStyle/>
            <a:p>
              <a:pPr algn="r">
                <a:defRPr sz="10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Analysis!$BO$3</c:f>
              <c:strCache>
                <c:ptCount val="1"/>
                <c:pt idx="0">
                  <c:v>Revenue </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Analysis!$BN$4:$BN$9</c:f>
              <c:strCache>
                <c:ptCount val="5"/>
                <c:pt idx="0">
                  <c:v>USA</c:v>
                </c:pt>
                <c:pt idx="1">
                  <c:v>UK</c:v>
                </c:pt>
                <c:pt idx="2">
                  <c:v>Ghana</c:v>
                </c:pt>
                <c:pt idx="3">
                  <c:v>Zimbabwe</c:v>
                </c:pt>
                <c:pt idx="4">
                  <c:v>India</c:v>
                </c:pt>
              </c:strCache>
            </c:strRef>
          </c:cat>
          <c:val>
            <c:numRef>
              <c:f>Analysis!$BO$4:$BO$9</c:f>
              <c:numCache>
                <c:formatCode>"$"#,##0</c:formatCode>
                <c:ptCount val="5"/>
                <c:pt idx="0">
                  <c:v>39127</c:v>
                </c:pt>
                <c:pt idx="1">
                  <c:v>32871</c:v>
                </c:pt>
                <c:pt idx="2">
                  <c:v>32026</c:v>
                </c:pt>
                <c:pt idx="3">
                  <c:v>30124</c:v>
                </c:pt>
                <c:pt idx="4">
                  <c:v>29392</c:v>
                </c:pt>
              </c:numCache>
            </c:numRef>
          </c:val>
          <c:extLst>
            <c:ext xmlns:c16="http://schemas.microsoft.com/office/drawing/2014/chart" uri="{C3380CC4-5D6E-409C-BE32-E72D297353CC}">
              <c16:uniqueId val="{00000000-0C72-415A-8854-7EFD6474C922}"/>
            </c:ext>
          </c:extLst>
        </c:ser>
        <c:ser>
          <c:idx val="1"/>
          <c:order val="1"/>
          <c:tx>
            <c:strRef>
              <c:f>Analysis!$BP$3</c:f>
              <c:strCache>
                <c:ptCount val="1"/>
                <c:pt idx="0">
                  <c:v> Profit</c:v>
                </c:pt>
              </c:strCache>
            </c:strRef>
          </c:tx>
          <c:spPr>
            <a:solidFill>
              <a:srgbClr val="002060"/>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7-0C72-415A-8854-7EFD6474C922}"/>
              </c:ext>
            </c:extLst>
          </c:dPt>
          <c:dPt>
            <c:idx val="1"/>
            <c:invertIfNegative val="0"/>
            <c:bubble3D val="0"/>
            <c:spPr>
              <a:solidFill>
                <a:srgbClr val="002060"/>
              </a:solidFill>
              <a:ln>
                <a:noFill/>
              </a:ln>
              <a:effectLst/>
            </c:spPr>
            <c:extLst>
              <c:ext xmlns:c16="http://schemas.microsoft.com/office/drawing/2014/chart" uri="{C3380CC4-5D6E-409C-BE32-E72D297353CC}">
                <c16:uniqueId val="{00000006-0C72-415A-8854-7EFD6474C922}"/>
              </c:ext>
            </c:extLst>
          </c:dPt>
          <c:dPt>
            <c:idx val="2"/>
            <c:invertIfNegative val="0"/>
            <c:bubble3D val="0"/>
            <c:spPr>
              <a:solidFill>
                <a:srgbClr val="002060"/>
              </a:solidFill>
              <a:ln>
                <a:noFill/>
              </a:ln>
              <a:effectLst/>
            </c:spPr>
            <c:extLst>
              <c:ext xmlns:c16="http://schemas.microsoft.com/office/drawing/2014/chart" uri="{C3380CC4-5D6E-409C-BE32-E72D297353CC}">
                <c16:uniqueId val="{00000008-0C72-415A-8854-7EFD6474C922}"/>
              </c:ext>
            </c:extLst>
          </c:dPt>
          <c:dPt>
            <c:idx val="3"/>
            <c:invertIfNegative val="0"/>
            <c:bubble3D val="0"/>
            <c:spPr>
              <a:solidFill>
                <a:srgbClr val="002060"/>
              </a:solidFill>
              <a:ln>
                <a:noFill/>
              </a:ln>
              <a:effectLst/>
            </c:spPr>
            <c:extLst>
              <c:ext xmlns:c16="http://schemas.microsoft.com/office/drawing/2014/chart" uri="{C3380CC4-5D6E-409C-BE32-E72D297353CC}">
                <c16:uniqueId val="{00000009-0C72-415A-8854-7EFD6474C922}"/>
              </c:ext>
            </c:extLst>
          </c:dPt>
          <c:dPt>
            <c:idx val="4"/>
            <c:invertIfNegative val="0"/>
            <c:bubble3D val="0"/>
            <c:spPr>
              <a:solidFill>
                <a:srgbClr val="002060"/>
              </a:solidFill>
              <a:ln>
                <a:noFill/>
              </a:ln>
              <a:effectLst/>
            </c:spPr>
            <c:extLst>
              <c:ext xmlns:c16="http://schemas.microsoft.com/office/drawing/2014/chart" uri="{C3380CC4-5D6E-409C-BE32-E72D297353CC}">
                <c16:uniqueId val="{0000000A-0C72-415A-8854-7EFD6474C922}"/>
              </c:ext>
            </c:extLst>
          </c:dPt>
          <c:dLbls>
            <c:dLbl>
              <c:idx val="0"/>
              <c:layout>
                <c:manualLayout>
                  <c:x val="2.2106554462847691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C72-415A-8854-7EFD6474C922}"/>
                </c:ext>
              </c:extLst>
            </c:dLbl>
            <c:dLbl>
              <c:idx val="1"/>
              <c:layout>
                <c:manualLayout>
                  <c:x val="2.2106554462847715E-2"/>
                  <c:y val="-8.342834013567132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C72-415A-8854-7EFD6474C922}"/>
                </c:ext>
              </c:extLst>
            </c:dLbl>
            <c:dLbl>
              <c:idx val="2"/>
              <c:layout>
                <c:manualLayout>
                  <c:x val="2.4869873770703679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C72-415A-8854-7EFD6474C922}"/>
                </c:ext>
              </c:extLst>
            </c:dLbl>
            <c:dLbl>
              <c:idx val="3"/>
              <c:layout>
                <c:manualLayout>
                  <c:x val="2.7633193078559645E-2"/>
                  <c:y val="-8.342834013567132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C72-415A-8854-7EFD6474C922}"/>
                </c:ext>
              </c:extLst>
            </c:dLbl>
            <c:dLbl>
              <c:idx val="4"/>
              <c:layout>
                <c:manualLayout>
                  <c:x val="1.6579915847135786E-2"/>
                  <c:y val="-9.101378608033805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C72-415A-8854-7EFD6474C922}"/>
                </c:ext>
              </c:extLst>
            </c:dLbl>
            <c:spPr>
              <a:noFill/>
              <a:ln>
                <a:noFill/>
              </a:ln>
              <a:effectLst/>
            </c:spPr>
            <c:txPr>
              <a:bodyPr rot="0" spcFirstLastPara="1" vertOverflow="ellipsis" vert="horz" wrap="square" lIns="38100" tIns="19050" rIns="38100" bIns="19050" anchor="ctr" anchorCtr="0">
                <a:spAutoFit/>
              </a:bodyPr>
              <a:lstStyle/>
              <a:p>
                <a:pPr algn="r">
                  <a:defRPr sz="10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Analysis!$BN$4:$BN$9</c:f>
              <c:strCache>
                <c:ptCount val="5"/>
                <c:pt idx="0">
                  <c:v>USA</c:v>
                </c:pt>
                <c:pt idx="1">
                  <c:v>UK</c:v>
                </c:pt>
                <c:pt idx="2">
                  <c:v>Ghana</c:v>
                </c:pt>
                <c:pt idx="3">
                  <c:v>Zimbabwe</c:v>
                </c:pt>
                <c:pt idx="4">
                  <c:v>India</c:v>
                </c:pt>
              </c:strCache>
            </c:strRef>
          </c:cat>
          <c:val>
            <c:numRef>
              <c:f>Analysis!$BP$4:$BP$9</c:f>
              <c:numCache>
                <c:formatCode>"$"#,##0</c:formatCode>
                <c:ptCount val="5"/>
                <c:pt idx="0">
                  <c:v>17892</c:v>
                </c:pt>
                <c:pt idx="1">
                  <c:v>15393</c:v>
                </c:pt>
                <c:pt idx="2">
                  <c:v>14468</c:v>
                </c:pt>
                <c:pt idx="3">
                  <c:v>13584</c:v>
                </c:pt>
                <c:pt idx="4">
                  <c:v>13441</c:v>
                </c:pt>
              </c:numCache>
            </c:numRef>
          </c:val>
          <c:extLst>
            <c:ext xmlns:c16="http://schemas.microsoft.com/office/drawing/2014/chart" uri="{C3380CC4-5D6E-409C-BE32-E72D297353CC}">
              <c16:uniqueId val="{00000005-0C72-415A-8854-7EFD6474C922}"/>
            </c:ext>
          </c:extLst>
        </c:ser>
        <c:dLbls>
          <c:dLblPos val="outEnd"/>
          <c:showLegendKey val="0"/>
          <c:showVal val="1"/>
          <c:showCatName val="0"/>
          <c:showSerName val="0"/>
          <c:showPercent val="0"/>
          <c:showBubbleSize val="0"/>
        </c:dLbls>
        <c:gapWidth val="219"/>
        <c:overlap val="-27"/>
        <c:axId val="1605098495"/>
        <c:axId val="1594423935"/>
      </c:barChart>
      <c:catAx>
        <c:axId val="160509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002060"/>
                </a:solidFill>
                <a:latin typeface="+mn-lt"/>
                <a:ea typeface="+mn-ea"/>
                <a:cs typeface="+mn-cs"/>
              </a:defRPr>
            </a:pPr>
            <a:endParaRPr lang="en-US"/>
          </a:p>
        </c:txPr>
        <c:crossAx val="1594423935"/>
        <c:crosses val="autoZero"/>
        <c:auto val="1"/>
        <c:lblAlgn val="ctr"/>
        <c:lblOffset val="100"/>
        <c:noMultiLvlLbl val="0"/>
      </c:catAx>
      <c:valAx>
        <c:axId val="1594423935"/>
        <c:scaling>
          <c:orientation val="minMax"/>
        </c:scaling>
        <c:delete val="1"/>
        <c:axPos val="l"/>
        <c:numFmt formatCode="&quot;$&quot;#,##0" sourceLinked="1"/>
        <c:majorTickMark val="none"/>
        <c:minorTickMark val="none"/>
        <c:tickLblPos val="nextTo"/>
        <c:crossAx val="16050984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[shoe_sales_raw_analysis.xlsx]Analysis!PivotTable11</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rgbClr val="002060"/>
                </a:solidFill>
              </a:rPr>
              <a:t>Purchasing</a:t>
            </a:r>
            <a:r>
              <a:rPr lang="en-GB" b="1" baseline="0">
                <a:solidFill>
                  <a:srgbClr val="002060"/>
                </a:solidFill>
              </a:rPr>
              <a:t> Pattern &amp; Payment Methods</a:t>
            </a:r>
            <a:endParaRPr lang="en-GB"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Analysis!$BX$3:$BX$4</c:f>
              <c:strCache>
                <c:ptCount val="1"/>
                <c:pt idx="0">
                  <c:v>Card</c:v>
                </c:pt>
              </c:strCache>
            </c:strRef>
          </c:tx>
          <c:spPr>
            <a:solidFill>
              <a:srgbClr val="FF0000"/>
            </a:solidFill>
            <a:ln>
              <a:noFill/>
            </a:ln>
            <a:effectLst/>
          </c:spPr>
          <c:invertIfNegative val="0"/>
          <c:cat>
            <c:strRef>
              <c:f>Analysis!$BW$5:$BW$13</c:f>
              <c:strCache>
                <c:ptCount val="8"/>
                <c:pt idx="0">
                  <c:v>Canvas</c:v>
                </c:pt>
                <c:pt idx="1">
                  <c:v>Boots</c:v>
                </c:pt>
                <c:pt idx="2">
                  <c:v>Brogues</c:v>
                </c:pt>
                <c:pt idx="3">
                  <c:v>Loafers</c:v>
                </c:pt>
                <c:pt idx="4">
                  <c:v>Monk Straps</c:v>
                </c:pt>
                <c:pt idx="5">
                  <c:v>Oxford</c:v>
                </c:pt>
                <c:pt idx="6">
                  <c:v>Derby</c:v>
                </c:pt>
                <c:pt idx="7">
                  <c:v>Slippers</c:v>
                </c:pt>
              </c:strCache>
            </c:strRef>
          </c:cat>
          <c:val>
            <c:numRef>
              <c:f>Analysis!$BX$5:$BX$13</c:f>
              <c:numCache>
                <c:formatCode>General</c:formatCode>
                <c:ptCount val="8"/>
                <c:pt idx="0">
                  <c:v>13</c:v>
                </c:pt>
                <c:pt idx="1">
                  <c:v>20</c:v>
                </c:pt>
                <c:pt idx="2">
                  <c:v>15</c:v>
                </c:pt>
                <c:pt idx="3">
                  <c:v>14</c:v>
                </c:pt>
                <c:pt idx="4">
                  <c:v>18</c:v>
                </c:pt>
                <c:pt idx="5">
                  <c:v>19</c:v>
                </c:pt>
                <c:pt idx="6">
                  <c:v>20</c:v>
                </c:pt>
                <c:pt idx="7">
                  <c:v>18</c:v>
                </c:pt>
              </c:numCache>
            </c:numRef>
          </c:val>
          <c:extLst>
            <c:ext xmlns:c16="http://schemas.microsoft.com/office/drawing/2014/chart" uri="{C3380CC4-5D6E-409C-BE32-E72D297353CC}">
              <c16:uniqueId val="{00000000-32C0-41F7-BCB4-9962E59EA747}"/>
            </c:ext>
          </c:extLst>
        </c:ser>
        <c:ser>
          <c:idx val="1"/>
          <c:order val="1"/>
          <c:tx>
            <c:strRef>
              <c:f>Analysis!$BY$3:$BY$4</c:f>
              <c:strCache>
                <c:ptCount val="1"/>
                <c:pt idx="0">
                  <c:v>Bank Transfer</c:v>
                </c:pt>
              </c:strCache>
            </c:strRef>
          </c:tx>
          <c:spPr>
            <a:solidFill>
              <a:srgbClr val="0070C0"/>
            </a:solidFill>
            <a:ln>
              <a:noFill/>
            </a:ln>
            <a:effectLst/>
          </c:spPr>
          <c:invertIfNegative val="0"/>
          <c:cat>
            <c:strRef>
              <c:f>Analysis!$BW$5:$BW$13</c:f>
              <c:strCache>
                <c:ptCount val="8"/>
                <c:pt idx="0">
                  <c:v>Canvas</c:v>
                </c:pt>
                <c:pt idx="1">
                  <c:v>Boots</c:v>
                </c:pt>
                <c:pt idx="2">
                  <c:v>Brogues</c:v>
                </c:pt>
                <c:pt idx="3">
                  <c:v>Loafers</c:v>
                </c:pt>
                <c:pt idx="4">
                  <c:v>Monk Straps</c:v>
                </c:pt>
                <c:pt idx="5">
                  <c:v>Oxford</c:v>
                </c:pt>
                <c:pt idx="6">
                  <c:v>Derby</c:v>
                </c:pt>
                <c:pt idx="7">
                  <c:v>Slippers</c:v>
                </c:pt>
              </c:strCache>
            </c:strRef>
          </c:cat>
          <c:val>
            <c:numRef>
              <c:f>Analysis!$BY$5:$BY$13</c:f>
              <c:numCache>
                <c:formatCode>General</c:formatCode>
                <c:ptCount val="8"/>
                <c:pt idx="0">
                  <c:v>23</c:v>
                </c:pt>
                <c:pt idx="1">
                  <c:v>21</c:v>
                </c:pt>
                <c:pt idx="2">
                  <c:v>18</c:v>
                </c:pt>
                <c:pt idx="3">
                  <c:v>17</c:v>
                </c:pt>
                <c:pt idx="4">
                  <c:v>16</c:v>
                </c:pt>
                <c:pt idx="5">
                  <c:v>15</c:v>
                </c:pt>
                <c:pt idx="6">
                  <c:v>14</c:v>
                </c:pt>
                <c:pt idx="7">
                  <c:v>11</c:v>
                </c:pt>
              </c:numCache>
            </c:numRef>
          </c:val>
          <c:extLst>
            <c:ext xmlns:c16="http://schemas.microsoft.com/office/drawing/2014/chart" uri="{C3380CC4-5D6E-409C-BE32-E72D297353CC}">
              <c16:uniqueId val="{00000005-32C0-41F7-BCB4-9962E59EA747}"/>
            </c:ext>
          </c:extLst>
        </c:ser>
        <c:ser>
          <c:idx val="2"/>
          <c:order val="2"/>
          <c:tx>
            <c:strRef>
              <c:f>Analysis!$BZ$3:$BZ$4</c:f>
              <c:strCache>
                <c:ptCount val="1"/>
                <c:pt idx="0">
                  <c:v>Cash</c:v>
                </c:pt>
              </c:strCache>
            </c:strRef>
          </c:tx>
          <c:spPr>
            <a:solidFill>
              <a:srgbClr val="92D050"/>
            </a:solidFill>
            <a:ln>
              <a:noFill/>
            </a:ln>
            <a:effectLst/>
          </c:spPr>
          <c:invertIfNegative val="0"/>
          <c:cat>
            <c:strRef>
              <c:f>Analysis!$BW$5:$BW$13</c:f>
              <c:strCache>
                <c:ptCount val="8"/>
                <c:pt idx="0">
                  <c:v>Canvas</c:v>
                </c:pt>
                <c:pt idx="1">
                  <c:v>Boots</c:v>
                </c:pt>
                <c:pt idx="2">
                  <c:v>Brogues</c:v>
                </c:pt>
                <c:pt idx="3">
                  <c:v>Loafers</c:v>
                </c:pt>
                <c:pt idx="4">
                  <c:v>Monk Straps</c:v>
                </c:pt>
                <c:pt idx="5">
                  <c:v>Oxford</c:v>
                </c:pt>
                <c:pt idx="6">
                  <c:v>Derby</c:v>
                </c:pt>
                <c:pt idx="7">
                  <c:v>Slippers</c:v>
                </c:pt>
              </c:strCache>
            </c:strRef>
          </c:cat>
          <c:val>
            <c:numRef>
              <c:f>Analysis!$BZ$5:$BZ$13</c:f>
              <c:numCache>
                <c:formatCode>General</c:formatCode>
                <c:ptCount val="8"/>
                <c:pt idx="0">
                  <c:v>17</c:v>
                </c:pt>
                <c:pt idx="1">
                  <c:v>12</c:v>
                </c:pt>
                <c:pt idx="2">
                  <c:v>15</c:v>
                </c:pt>
                <c:pt idx="3">
                  <c:v>13</c:v>
                </c:pt>
                <c:pt idx="4">
                  <c:v>21</c:v>
                </c:pt>
                <c:pt idx="5">
                  <c:v>16</c:v>
                </c:pt>
                <c:pt idx="6">
                  <c:v>18</c:v>
                </c:pt>
                <c:pt idx="7">
                  <c:v>13</c:v>
                </c:pt>
              </c:numCache>
            </c:numRef>
          </c:val>
          <c:extLst>
            <c:ext xmlns:c16="http://schemas.microsoft.com/office/drawing/2014/chart" uri="{C3380CC4-5D6E-409C-BE32-E72D297353CC}">
              <c16:uniqueId val="{00000006-32C0-41F7-BCB4-9962E59EA747}"/>
            </c:ext>
          </c:extLst>
        </c:ser>
        <c:ser>
          <c:idx val="3"/>
          <c:order val="3"/>
          <c:tx>
            <c:strRef>
              <c:f>Analysis!$CA$3:$CA$4</c:f>
              <c:strCache>
                <c:ptCount val="1"/>
                <c:pt idx="0">
                  <c:v>Mobile Money</c:v>
                </c:pt>
              </c:strCache>
            </c:strRef>
          </c:tx>
          <c:spPr>
            <a:solidFill>
              <a:srgbClr val="7030A0"/>
            </a:solidFill>
            <a:ln>
              <a:noFill/>
            </a:ln>
            <a:effectLst/>
          </c:spPr>
          <c:invertIfNegative val="0"/>
          <c:cat>
            <c:strRef>
              <c:f>Analysis!$BW$5:$BW$13</c:f>
              <c:strCache>
                <c:ptCount val="8"/>
                <c:pt idx="0">
                  <c:v>Canvas</c:v>
                </c:pt>
                <c:pt idx="1">
                  <c:v>Boots</c:v>
                </c:pt>
                <c:pt idx="2">
                  <c:v>Brogues</c:v>
                </c:pt>
                <c:pt idx="3">
                  <c:v>Loafers</c:v>
                </c:pt>
                <c:pt idx="4">
                  <c:v>Monk Straps</c:v>
                </c:pt>
                <c:pt idx="5">
                  <c:v>Oxford</c:v>
                </c:pt>
                <c:pt idx="6">
                  <c:v>Derby</c:v>
                </c:pt>
                <c:pt idx="7">
                  <c:v>Slippers</c:v>
                </c:pt>
              </c:strCache>
            </c:strRef>
          </c:cat>
          <c:val>
            <c:numRef>
              <c:f>Analysis!$CA$5:$CA$13</c:f>
              <c:numCache>
                <c:formatCode>General</c:formatCode>
                <c:ptCount val="8"/>
                <c:pt idx="0">
                  <c:v>8</c:v>
                </c:pt>
                <c:pt idx="1">
                  <c:v>18</c:v>
                </c:pt>
                <c:pt idx="2">
                  <c:v>15</c:v>
                </c:pt>
                <c:pt idx="3">
                  <c:v>12</c:v>
                </c:pt>
                <c:pt idx="4">
                  <c:v>14</c:v>
                </c:pt>
                <c:pt idx="5">
                  <c:v>12</c:v>
                </c:pt>
                <c:pt idx="6">
                  <c:v>14</c:v>
                </c:pt>
                <c:pt idx="7">
                  <c:v>10</c:v>
                </c:pt>
              </c:numCache>
            </c:numRef>
          </c:val>
          <c:extLst>
            <c:ext xmlns:c16="http://schemas.microsoft.com/office/drawing/2014/chart" uri="{C3380CC4-5D6E-409C-BE32-E72D297353CC}">
              <c16:uniqueId val="{00000007-32C0-41F7-BCB4-9962E59EA747}"/>
            </c:ext>
          </c:extLst>
        </c:ser>
        <c:dLbls>
          <c:showLegendKey val="0"/>
          <c:showVal val="0"/>
          <c:showCatName val="0"/>
          <c:showSerName val="0"/>
          <c:showPercent val="0"/>
          <c:showBubbleSize val="0"/>
        </c:dLbls>
        <c:gapWidth val="219"/>
        <c:overlap val="-27"/>
        <c:axId val="1605162063"/>
        <c:axId val="37553087"/>
      </c:barChart>
      <c:catAx>
        <c:axId val="160516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crossAx val="37553087"/>
        <c:crosses val="autoZero"/>
        <c:auto val="1"/>
        <c:lblAlgn val="ctr"/>
        <c:lblOffset val="100"/>
        <c:noMultiLvlLbl val="0"/>
      </c:catAx>
      <c:valAx>
        <c:axId val="37553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605162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[shoe_sales_raw_analysis.xlsx]Sheet3!PivotTable15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rgbClr val="002060"/>
                </a:solidFill>
              </a:rPr>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Sheet3!$A$4:$A$12</c:f>
              <c:strCache>
                <c:ptCount val="8"/>
                <c:pt idx="0">
                  <c:v>Derby</c:v>
                </c:pt>
                <c:pt idx="1">
                  <c:v>Loafers</c:v>
                </c:pt>
                <c:pt idx="2">
                  <c:v>Slippers</c:v>
                </c:pt>
                <c:pt idx="3">
                  <c:v>Boots</c:v>
                </c:pt>
                <c:pt idx="4">
                  <c:v>Monk Straps</c:v>
                </c:pt>
                <c:pt idx="5">
                  <c:v>Brogues</c:v>
                </c:pt>
                <c:pt idx="6">
                  <c:v>Oxford</c:v>
                </c:pt>
                <c:pt idx="7">
                  <c:v>Canvas</c:v>
                </c:pt>
              </c:strCache>
            </c:strRef>
          </c:cat>
          <c:val>
            <c:numRef>
              <c:f>Sheet3!$B$4:$B$12</c:f>
              <c:numCache>
                <c:formatCode>"$"#,##0</c:formatCode>
                <c:ptCount val="8"/>
                <c:pt idx="0">
                  <c:v>16704</c:v>
                </c:pt>
                <c:pt idx="1">
                  <c:v>24462</c:v>
                </c:pt>
                <c:pt idx="2">
                  <c:v>40698</c:v>
                </c:pt>
                <c:pt idx="3">
                  <c:v>41040</c:v>
                </c:pt>
                <c:pt idx="4">
                  <c:v>51175</c:v>
                </c:pt>
                <c:pt idx="5">
                  <c:v>58576</c:v>
                </c:pt>
                <c:pt idx="6">
                  <c:v>58905</c:v>
                </c:pt>
                <c:pt idx="7">
                  <c:v>63488</c:v>
                </c:pt>
              </c:numCache>
            </c:numRef>
          </c:val>
          <c:extLst>
            <c:ext xmlns:c16="http://schemas.microsoft.com/office/drawing/2014/chart" uri="{C3380CC4-5D6E-409C-BE32-E72D297353CC}">
              <c16:uniqueId val="{00000000-5EDD-4D90-8180-0D4ECC643A39}"/>
            </c:ext>
          </c:extLst>
        </c:ser>
        <c:dLbls>
          <c:showLegendKey val="0"/>
          <c:showVal val="0"/>
          <c:showCatName val="0"/>
          <c:showSerName val="0"/>
          <c:showPercent val="0"/>
          <c:showBubbleSize val="0"/>
        </c:dLbls>
        <c:gapWidth val="50"/>
        <c:axId val="1494709903"/>
        <c:axId val="1594389375"/>
      </c:barChart>
      <c:catAx>
        <c:axId val="1494709903"/>
        <c:scaling>
          <c:orientation val="minMax"/>
        </c:scaling>
        <c:delete val="0"/>
        <c:axPos val="l"/>
        <c:numFmt formatCode="General" sourceLinked="1"/>
        <c:majorTickMark val="out"/>
        <c:minorTickMark val="none"/>
        <c:tickLblPos val="nextTo"/>
        <c:spPr>
          <a:noFill/>
          <a:ln w="9525" cap="flat" cmpd="sng" algn="ctr">
            <a:solidFill>
              <a:srgbClr val="002060"/>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594389375"/>
        <c:crosses val="autoZero"/>
        <c:auto val="1"/>
        <c:lblAlgn val="ctr"/>
        <c:lblOffset val="100"/>
        <c:noMultiLvlLbl val="0"/>
      </c:catAx>
      <c:valAx>
        <c:axId val="1594389375"/>
        <c:scaling>
          <c:orientation val="minMax"/>
        </c:scaling>
        <c:delete val="1"/>
        <c:axPos val="b"/>
        <c:numFmt formatCode="&quot;$&quot;#,##0" sourceLinked="1"/>
        <c:majorTickMark val="out"/>
        <c:minorTickMark val="none"/>
        <c:tickLblPos val="nextTo"/>
        <c:crossAx val="149470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[shoe_sales_raw_analysis.xlsx]Analysis!PivotTable3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a:solidFill>
                  <a:srgbClr val="002060"/>
                </a:solidFill>
              </a:rPr>
              <a:t>Monthly Revenue &amp; Profit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FF0000"/>
            </a:solidFill>
            <a:round/>
          </a:ln>
          <a:effectLst/>
        </c:spPr>
        <c:marker>
          <c:symbol val="circle"/>
          <c:size val="5"/>
          <c:spPr>
            <a:solidFill>
              <a:srgbClr val="00206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2060"/>
            </a:solidFill>
            <a:round/>
          </a:ln>
          <a:effectLst/>
        </c:spPr>
        <c:marker>
          <c:symbol val="circle"/>
          <c:size val="5"/>
          <c:spPr>
            <a:solidFill>
              <a:srgbClr val="FF0000"/>
            </a:solidFill>
            <a:ln w="9525">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circle"/>
          <c:size val="5"/>
          <c:spPr>
            <a:solidFill>
              <a:srgbClr val="00206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2060"/>
            </a:solidFill>
            <a:round/>
          </a:ln>
          <a:effectLst/>
        </c:spPr>
        <c:marker>
          <c:symbol val="circle"/>
          <c:size val="5"/>
          <c:spPr>
            <a:solidFill>
              <a:srgbClr val="FF0000"/>
            </a:solidFill>
            <a:ln w="9525">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C00000"/>
            </a:solidFill>
            <a:round/>
          </a:ln>
          <a:effectLst/>
        </c:spPr>
        <c:marker>
          <c:symbol val="circle"/>
          <c:size val="5"/>
          <c:spPr>
            <a:solidFill>
              <a:srgbClr val="C00000"/>
            </a:solidFill>
            <a:ln w="9525">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2060"/>
            </a:solidFill>
            <a:round/>
          </a:ln>
          <a:effectLst/>
        </c:spPr>
        <c:marker>
          <c:symbol val="circle"/>
          <c:size val="5"/>
          <c:spPr>
            <a:solidFill>
              <a:srgbClr val="FF0000"/>
            </a:solidFill>
            <a:ln w="9525">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Analysis!$K$3</c:f>
              <c:strCache>
                <c:ptCount val="1"/>
                <c:pt idx="0">
                  <c:v>Revenue </c:v>
                </c:pt>
              </c:strCache>
            </c:strRef>
          </c:tx>
          <c:spPr>
            <a:ln w="28575" cap="rnd">
              <a:solidFill>
                <a:srgbClr val="C00000"/>
              </a:solidFill>
              <a:round/>
            </a:ln>
            <a:effectLst/>
          </c:spPr>
          <c:marker>
            <c:symbol val="circle"/>
            <c:size val="5"/>
            <c:spPr>
              <a:solidFill>
                <a:srgbClr val="C00000"/>
              </a:solidFill>
              <a:ln w="9525">
                <a:solidFill>
                  <a:srgbClr val="002060"/>
                </a:solidFill>
              </a:ln>
              <a:effectLst/>
            </c:spPr>
          </c:marker>
          <c:cat>
            <c:strRef>
              <c:f>Analysis!$J$4:$J$12</c:f>
              <c:strCache>
                <c:ptCount val="8"/>
                <c:pt idx="0">
                  <c:v>Jan</c:v>
                </c:pt>
                <c:pt idx="1">
                  <c:v>Feb</c:v>
                </c:pt>
                <c:pt idx="2">
                  <c:v>Mar</c:v>
                </c:pt>
                <c:pt idx="3">
                  <c:v>Apr</c:v>
                </c:pt>
                <c:pt idx="4">
                  <c:v>May</c:v>
                </c:pt>
                <c:pt idx="5">
                  <c:v>Jun</c:v>
                </c:pt>
                <c:pt idx="6">
                  <c:v>Jul</c:v>
                </c:pt>
                <c:pt idx="7">
                  <c:v>Aug</c:v>
                </c:pt>
              </c:strCache>
            </c:strRef>
          </c:cat>
          <c:val>
            <c:numRef>
              <c:f>Analysis!$K$4:$K$12</c:f>
              <c:numCache>
                <c:formatCode>"$"#,##0</c:formatCode>
                <c:ptCount val="8"/>
                <c:pt idx="0">
                  <c:v>43801</c:v>
                </c:pt>
                <c:pt idx="1">
                  <c:v>40664</c:v>
                </c:pt>
                <c:pt idx="2">
                  <c:v>45492</c:v>
                </c:pt>
                <c:pt idx="3">
                  <c:v>44204</c:v>
                </c:pt>
                <c:pt idx="4">
                  <c:v>44578</c:v>
                </c:pt>
                <c:pt idx="5">
                  <c:v>70771</c:v>
                </c:pt>
                <c:pt idx="6">
                  <c:v>49497</c:v>
                </c:pt>
                <c:pt idx="7">
                  <c:v>16041</c:v>
                </c:pt>
              </c:numCache>
            </c:numRef>
          </c:val>
          <c:smooth val="0"/>
          <c:extLst>
            <c:ext xmlns:c16="http://schemas.microsoft.com/office/drawing/2014/chart" uri="{C3380CC4-5D6E-409C-BE32-E72D297353CC}">
              <c16:uniqueId val="{00000000-71A5-4241-94E0-6052DE9FECBF}"/>
            </c:ext>
          </c:extLst>
        </c:ser>
        <c:ser>
          <c:idx val="1"/>
          <c:order val="1"/>
          <c:tx>
            <c:strRef>
              <c:f>Analysis!$L$3</c:f>
              <c:strCache>
                <c:ptCount val="1"/>
                <c:pt idx="0">
                  <c:v>Profit </c:v>
                </c:pt>
              </c:strCache>
            </c:strRef>
          </c:tx>
          <c:spPr>
            <a:ln w="28575" cap="rnd">
              <a:solidFill>
                <a:srgbClr val="002060"/>
              </a:solidFill>
              <a:round/>
            </a:ln>
            <a:effectLst/>
          </c:spPr>
          <c:marker>
            <c:symbol val="circle"/>
            <c:size val="5"/>
            <c:spPr>
              <a:solidFill>
                <a:srgbClr val="FF0000"/>
              </a:solidFill>
              <a:ln w="9525">
                <a:solidFill>
                  <a:srgbClr val="002060"/>
                </a:solidFill>
              </a:ln>
              <a:effectLst/>
            </c:spPr>
          </c:marker>
          <c:cat>
            <c:strRef>
              <c:f>Analysis!$J$4:$J$12</c:f>
              <c:strCache>
                <c:ptCount val="8"/>
                <c:pt idx="0">
                  <c:v>Jan</c:v>
                </c:pt>
                <c:pt idx="1">
                  <c:v>Feb</c:v>
                </c:pt>
                <c:pt idx="2">
                  <c:v>Mar</c:v>
                </c:pt>
                <c:pt idx="3">
                  <c:v>Apr</c:v>
                </c:pt>
                <c:pt idx="4">
                  <c:v>May</c:v>
                </c:pt>
                <c:pt idx="5">
                  <c:v>Jun</c:v>
                </c:pt>
                <c:pt idx="6">
                  <c:v>Jul</c:v>
                </c:pt>
                <c:pt idx="7">
                  <c:v>Aug</c:v>
                </c:pt>
              </c:strCache>
            </c:strRef>
          </c:cat>
          <c:val>
            <c:numRef>
              <c:f>Analysis!$L$4:$L$12</c:f>
              <c:numCache>
                <c:formatCode>"$"#,##0</c:formatCode>
                <c:ptCount val="8"/>
                <c:pt idx="0">
                  <c:v>20299</c:v>
                </c:pt>
                <c:pt idx="1">
                  <c:v>18698</c:v>
                </c:pt>
                <c:pt idx="2">
                  <c:v>20869</c:v>
                </c:pt>
                <c:pt idx="3">
                  <c:v>20067</c:v>
                </c:pt>
                <c:pt idx="4">
                  <c:v>20407</c:v>
                </c:pt>
                <c:pt idx="5">
                  <c:v>32123</c:v>
                </c:pt>
                <c:pt idx="6">
                  <c:v>22517</c:v>
                </c:pt>
                <c:pt idx="7">
                  <c:v>7355</c:v>
                </c:pt>
              </c:numCache>
            </c:numRef>
          </c:val>
          <c:smooth val="0"/>
          <c:extLst>
            <c:ext xmlns:c16="http://schemas.microsoft.com/office/drawing/2014/chart" uri="{C3380CC4-5D6E-409C-BE32-E72D297353CC}">
              <c16:uniqueId val="{00000001-71A5-4241-94E0-6052DE9FECBF}"/>
            </c:ext>
          </c:extLst>
        </c:ser>
        <c:dLbls>
          <c:showLegendKey val="0"/>
          <c:showVal val="0"/>
          <c:showCatName val="0"/>
          <c:showSerName val="0"/>
          <c:showPercent val="0"/>
          <c:showBubbleSize val="0"/>
        </c:dLbls>
        <c:marker val="1"/>
        <c:smooth val="0"/>
        <c:axId val="1487540415"/>
        <c:axId val="1223212895"/>
      </c:lineChart>
      <c:catAx>
        <c:axId val="148754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002060"/>
                </a:solidFill>
                <a:latin typeface="+mn-lt"/>
                <a:ea typeface="+mn-ea"/>
                <a:cs typeface="+mn-cs"/>
              </a:defRPr>
            </a:pPr>
            <a:endParaRPr lang="en-US"/>
          </a:p>
        </c:txPr>
        <c:crossAx val="1223212895"/>
        <c:crosses val="autoZero"/>
        <c:auto val="1"/>
        <c:lblAlgn val="ctr"/>
        <c:lblOffset val="100"/>
        <c:noMultiLvlLbl val="0"/>
      </c:catAx>
      <c:valAx>
        <c:axId val="1223212895"/>
        <c:scaling>
          <c:orientation val="minMax"/>
          <c:max val="80000"/>
          <c:min val="5000"/>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487540415"/>
        <c:crosses val="autoZero"/>
        <c:crossBetween val="between"/>
        <c:majorUnit val="25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[shoe_sales_raw_analysis.xlsx]Sheet3!PivotTable15</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rgbClr val="002060"/>
                </a:solidFill>
              </a:rPr>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Sheet3!$A$4:$A$12</c:f>
              <c:strCache>
                <c:ptCount val="8"/>
                <c:pt idx="0">
                  <c:v>Derby</c:v>
                </c:pt>
                <c:pt idx="1">
                  <c:v>Loafers</c:v>
                </c:pt>
                <c:pt idx="2">
                  <c:v>Slippers</c:v>
                </c:pt>
                <c:pt idx="3">
                  <c:v>Boots</c:v>
                </c:pt>
                <c:pt idx="4">
                  <c:v>Monk Straps</c:v>
                </c:pt>
                <c:pt idx="5">
                  <c:v>Brogues</c:v>
                </c:pt>
                <c:pt idx="6">
                  <c:v>Oxford</c:v>
                </c:pt>
                <c:pt idx="7">
                  <c:v>Canvas</c:v>
                </c:pt>
              </c:strCache>
            </c:strRef>
          </c:cat>
          <c:val>
            <c:numRef>
              <c:f>Sheet3!$B$4:$B$12</c:f>
              <c:numCache>
                <c:formatCode>"$"#,##0</c:formatCode>
                <c:ptCount val="8"/>
                <c:pt idx="0">
                  <c:v>16704</c:v>
                </c:pt>
                <c:pt idx="1">
                  <c:v>24462</c:v>
                </c:pt>
                <c:pt idx="2">
                  <c:v>40698</c:v>
                </c:pt>
                <c:pt idx="3">
                  <c:v>41040</c:v>
                </c:pt>
                <c:pt idx="4">
                  <c:v>51175</c:v>
                </c:pt>
                <c:pt idx="5">
                  <c:v>58576</c:v>
                </c:pt>
                <c:pt idx="6">
                  <c:v>58905</c:v>
                </c:pt>
                <c:pt idx="7">
                  <c:v>63488</c:v>
                </c:pt>
              </c:numCache>
            </c:numRef>
          </c:val>
          <c:extLst>
            <c:ext xmlns:c16="http://schemas.microsoft.com/office/drawing/2014/chart" uri="{C3380CC4-5D6E-409C-BE32-E72D297353CC}">
              <c16:uniqueId val="{00000000-ED1D-4EB8-BF35-ACB2D98EBD45}"/>
            </c:ext>
          </c:extLst>
        </c:ser>
        <c:dLbls>
          <c:showLegendKey val="0"/>
          <c:showVal val="0"/>
          <c:showCatName val="0"/>
          <c:showSerName val="0"/>
          <c:showPercent val="0"/>
          <c:showBubbleSize val="0"/>
        </c:dLbls>
        <c:gapWidth val="50"/>
        <c:axId val="1494709903"/>
        <c:axId val="1594389375"/>
      </c:barChart>
      <c:catAx>
        <c:axId val="1494709903"/>
        <c:scaling>
          <c:orientation val="minMax"/>
        </c:scaling>
        <c:delete val="0"/>
        <c:axPos val="l"/>
        <c:numFmt formatCode="General" sourceLinked="1"/>
        <c:majorTickMark val="out"/>
        <c:minorTickMark val="none"/>
        <c:tickLblPos val="nextTo"/>
        <c:spPr>
          <a:noFill/>
          <a:ln w="9525" cap="flat" cmpd="sng" algn="ctr">
            <a:solidFill>
              <a:srgbClr val="002060"/>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594389375"/>
        <c:crosses val="autoZero"/>
        <c:auto val="1"/>
        <c:lblAlgn val="ctr"/>
        <c:lblOffset val="100"/>
        <c:noMultiLvlLbl val="0"/>
      </c:catAx>
      <c:valAx>
        <c:axId val="1594389375"/>
        <c:scaling>
          <c:orientation val="minMax"/>
        </c:scaling>
        <c:delete val="1"/>
        <c:axPos val="b"/>
        <c:numFmt formatCode="&quot;$&quot;#,##0" sourceLinked="1"/>
        <c:majorTickMark val="out"/>
        <c:minorTickMark val="none"/>
        <c:tickLblPos val="nextTo"/>
        <c:crossAx val="149470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[shoe_sales_raw_analysis.xlsx]Analysis!PivotTable6</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rgbClr val="002060"/>
                </a:solidFill>
                <a:effectLst/>
              </a:rPr>
              <a:t>Profitability by Product </a:t>
            </a:r>
            <a:endParaRPr lang="en-GB" b="1">
              <a:solidFill>
                <a:srgbClr val="002060"/>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rgbClr val="002060"/>
          </a:solidFill>
          <a:ln>
            <a:noFill/>
          </a:ln>
          <a:effectLst/>
        </c:spPr>
        <c:marker>
          <c:symbol val="none"/>
        </c:marker>
        <c:dLbl>
          <c:idx val="0"/>
          <c:delete val="1"/>
          <c:extLst>
            <c:ext xmlns:c15="http://schemas.microsoft.com/office/drawing/2012/chart" uri="{CE6537A1-D6FC-4f65-9D91-7224C49458BB}"/>
          </c:extLst>
        </c:dLbl>
      </c:pivotFmt>
      <c:pivotFmt>
        <c:idx val="7"/>
        <c:spPr>
          <a:ln w="15875" cap="rnd">
            <a:solidFill>
              <a:srgbClr val="FF0000"/>
            </a:solidFill>
            <a:round/>
          </a:ln>
          <a:effectLst/>
        </c:spPr>
        <c:marker>
          <c:symbol val="circle"/>
          <c:size val="4"/>
          <c:spPr>
            <a:solidFill>
              <a:srgbClr val="FF0000"/>
            </a:solidFill>
            <a:ln>
              <a:noFill/>
            </a:ln>
          </c:spPr>
        </c:marker>
        <c:dLbl>
          <c:idx val="0"/>
          <c:delete val="1"/>
          <c:extLst>
            <c:ext xmlns:c15="http://schemas.microsoft.com/office/drawing/2012/chart" uri="{CE6537A1-D6FC-4f65-9D91-7224C49458BB}"/>
          </c:extLst>
        </c:dLbl>
      </c:pivotFmt>
      <c:pivotFmt>
        <c:idx val="8"/>
        <c:spPr>
          <a:solidFill>
            <a:srgbClr val="002060"/>
          </a:solidFill>
          <a:ln>
            <a:noFill/>
          </a:ln>
          <a:effectLst/>
        </c:spPr>
        <c:marker>
          <c:symbol val="none"/>
        </c:marker>
        <c:dLbl>
          <c:idx val="0"/>
          <c:delete val="1"/>
          <c:extLst>
            <c:ext xmlns:c15="http://schemas.microsoft.com/office/drawing/2012/chart" uri="{CE6537A1-D6FC-4f65-9D91-7224C49458BB}"/>
          </c:extLst>
        </c:dLbl>
      </c:pivotFmt>
      <c:pivotFmt>
        <c:idx val="9"/>
        <c:spPr>
          <a:ln w="15875" cap="rnd">
            <a:solidFill>
              <a:srgbClr val="FF0000"/>
            </a:solidFill>
            <a:round/>
          </a:ln>
          <a:effectLst/>
        </c:spPr>
        <c:marker>
          <c:symbol val="circle"/>
          <c:size val="4"/>
          <c:spPr>
            <a:solidFill>
              <a:srgbClr val="FF0000"/>
            </a:solidFill>
            <a:ln>
              <a:noFill/>
            </a:ln>
          </c:spPr>
        </c:marker>
        <c:dLbl>
          <c:idx val="0"/>
          <c:delete val="1"/>
          <c:extLst>
            <c:ext xmlns:c15="http://schemas.microsoft.com/office/drawing/2012/chart" uri="{CE6537A1-D6FC-4f65-9D91-7224C49458BB}"/>
          </c:extLst>
        </c:dLbl>
      </c:pivotFmt>
      <c:pivotFmt>
        <c:idx val="10"/>
        <c:spPr>
          <a:solidFill>
            <a:srgbClr val="002060"/>
          </a:solidFill>
          <a:ln>
            <a:noFill/>
          </a:ln>
          <a:effectLst/>
        </c:spPr>
        <c:marker>
          <c:symbol val="none"/>
        </c:marker>
        <c:dLbl>
          <c:idx val="0"/>
          <c:delete val="1"/>
          <c:extLst>
            <c:ext xmlns:c15="http://schemas.microsoft.com/office/drawing/2012/chart" uri="{CE6537A1-D6FC-4f65-9D91-7224C49458BB}"/>
          </c:extLst>
        </c:dLbl>
      </c:pivotFmt>
      <c:pivotFmt>
        <c:idx val="11"/>
        <c:spPr>
          <a:ln w="15875" cap="rnd">
            <a:solidFill>
              <a:srgbClr val="FF0000"/>
            </a:solidFill>
            <a:round/>
          </a:ln>
          <a:effectLst/>
        </c:spPr>
        <c:marker>
          <c:symbol val="circle"/>
          <c:size val="4"/>
          <c:spPr>
            <a:solidFill>
              <a:srgbClr val="C00000"/>
            </a:solidFill>
            <a:ln>
              <a:noFill/>
            </a:ln>
          </c:spPr>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Analysis!$AH$3</c:f>
              <c:strCache>
                <c:ptCount val="1"/>
                <c:pt idx="0">
                  <c:v>Profit </c:v>
                </c:pt>
              </c:strCache>
            </c:strRef>
          </c:tx>
          <c:spPr>
            <a:solidFill>
              <a:srgbClr val="002060"/>
            </a:solidFill>
            <a:ln>
              <a:noFill/>
            </a:ln>
            <a:effectLst/>
          </c:spPr>
          <c:invertIfNegative val="0"/>
          <c:cat>
            <c:strRef>
              <c:f>Analysis!$AG$4:$AG$12</c:f>
              <c:strCache>
                <c:ptCount val="8"/>
                <c:pt idx="0">
                  <c:v>Canvas</c:v>
                </c:pt>
                <c:pt idx="1">
                  <c:v>Oxford</c:v>
                </c:pt>
                <c:pt idx="2">
                  <c:v>Brogues</c:v>
                </c:pt>
                <c:pt idx="3">
                  <c:v>Monk Straps</c:v>
                </c:pt>
                <c:pt idx="4">
                  <c:v>Boots</c:v>
                </c:pt>
                <c:pt idx="5">
                  <c:v>Slippers</c:v>
                </c:pt>
                <c:pt idx="6">
                  <c:v>Loafers</c:v>
                </c:pt>
                <c:pt idx="7">
                  <c:v>Derby</c:v>
                </c:pt>
              </c:strCache>
            </c:strRef>
          </c:cat>
          <c:val>
            <c:numRef>
              <c:f>Analysis!$AH$4:$AH$12</c:f>
              <c:numCache>
                <c:formatCode>"$"#,##0</c:formatCode>
                <c:ptCount val="8"/>
                <c:pt idx="0">
                  <c:v>27776</c:v>
                </c:pt>
                <c:pt idx="1">
                  <c:v>26367</c:v>
                </c:pt>
                <c:pt idx="2">
                  <c:v>25104</c:v>
                </c:pt>
                <c:pt idx="3">
                  <c:v>24150</c:v>
                </c:pt>
                <c:pt idx="4">
                  <c:v>19980</c:v>
                </c:pt>
                <c:pt idx="5">
                  <c:v>17784</c:v>
                </c:pt>
                <c:pt idx="6">
                  <c:v>11778</c:v>
                </c:pt>
                <c:pt idx="7">
                  <c:v>9396</c:v>
                </c:pt>
              </c:numCache>
            </c:numRef>
          </c:val>
          <c:extLst>
            <c:ext xmlns:c16="http://schemas.microsoft.com/office/drawing/2014/chart" uri="{C3380CC4-5D6E-409C-BE32-E72D297353CC}">
              <c16:uniqueId val="{00000000-DF22-492A-85CE-B27679D14BC7}"/>
            </c:ext>
          </c:extLst>
        </c:ser>
        <c:dLbls>
          <c:showLegendKey val="0"/>
          <c:showVal val="0"/>
          <c:showCatName val="0"/>
          <c:showSerName val="0"/>
          <c:showPercent val="0"/>
          <c:showBubbleSize val="0"/>
        </c:dLbls>
        <c:gapWidth val="219"/>
        <c:axId val="827586751"/>
        <c:axId val="1594391775"/>
      </c:barChart>
      <c:lineChart>
        <c:grouping val="standard"/>
        <c:varyColors val="0"/>
        <c:ser>
          <c:idx val="1"/>
          <c:order val="1"/>
          <c:tx>
            <c:strRef>
              <c:f>Analysis!$AI$3</c:f>
              <c:strCache>
                <c:ptCount val="1"/>
                <c:pt idx="0">
                  <c:v>% Profit Margin</c:v>
                </c:pt>
              </c:strCache>
            </c:strRef>
          </c:tx>
          <c:spPr>
            <a:ln w="15875" cap="rnd">
              <a:solidFill>
                <a:srgbClr val="FF0000"/>
              </a:solidFill>
              <a:round/>
            </a:ln>
            <a:effectLst/>
          </c:spPr>
          <c:marker>
            <c:symbol val="circle"/>
            <c:size val="4"/>
            <c:spPr>
              <a:solidFill>
                <a:srgbClr val="C00000"/>
              </a:solidFill>
              <a:ln>
                <a:noFill/>
              </a:ln>
            </c:spPr>
          </c:marker>
          <c:cat>
            <c:strRef>
              <c:f>Analysis!$AG$4:$AG$12</c:f>
              <c:strCache>
                <c:ptCount val="8"/>
                <c:pt idx="0">
                  <c:v>Canvas</c:v>
                </c:pt>
                <c:pt idx="1">
                  <c:v>Oxford</c:v>
                </c:pt>
                <c:pt idx="2">
                  <c:v>Brogues</c:v>
                </c:pt>
                <c:pt idx="3">
                  <c:v>Monk Straps</c:v>
                </c:pt>
                <c:pt idx="4">
                  <c:v>Boots</c:v>
                </c:pt>
                <c:pt idx="5">
                  <c:v>Slippers</c:v>
                </c:pt>
                <c:pt idx="6">
                  <c:v>Loafers</c:v>
                </c:pt>
                <c:pt idx="7">
                  <c:v>Derby</c:v>
                </c:pt>
              </c:strCache>
            </c:strRef>
          </c:cat>
          <c:val>
            <c:numRef>
              <c:f>Analysis!$AI$4:$AI$12</c:f>
              <c:numCache>
                <c:formatCode>0.0%</c:formatCode>
                <c:ptCount val="8"/>
                <c:pt idx="0">
                  <c:v>0.4375</c:v>
                </c:pt>
                <c:pt idx="1">
                  <c:v>0.44761904761904764</c:v>
                </c:pt>
                <c:pt idx="2">
                  <c:v>0.42857142857142855</c:v>
                </c:pt>
                <c:pt idx="3">
                  <c:v>0.47191011235955055</c:v>
                </c:pt>
                <c:pt idx="4">
                  <c:v>0.48684210526315791</c:v>
                </c:pt>
                <c:pt idx="5">
                  <c:v>0.43697478991596639</c:v>
                </c:pt>
                <c:pt idx="6">
                  <c:v>0.48148148148148145</c:v>
                </c:pt>
                <c:pt idx="7">
                  <c:v>0.5625</c:v>
                </c:pt>
              </c:numCache>
            </c:numRef>
          </c:val>
          <c:smooth val="0"/>
          <c:extLst>
            <c:ext xmlns:c16="http://schemas.microsoft.com/office/drawing/2014/chart" uri="{C3380CC4-5D6E-409C-BE32-E72D297353CC}">
              <c16:uniqueId val="{00000001-DF22-492A-85CE-B27679D14BC7}"/>
            </c:ext>
          </c:extLst>
        </c:ser>
        <c:dLbls>
          <c:showLegendKey val="0"/>
          <c:showVal val="0"/>
          <c:showCatName val="0"/>
          <c:showSerName val="0"/>
          <c:showPercent val="0"/>
          <c:showBubbleSize val="0"/>
        </c:dLbls>
        <c:marker val="1"/>
        <c:smooth val="0"/>
        <c:axId val="1494708511"/>
        <c:axId val="1594396095"/>
      </c:lineChart>
      <c:catAx>
        <c:axId val="827586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594391775"/>
        <c:crosses val="autoZero"/>
        <c:auto val="1"/>
        <c:lblAlgn val="ctr"/>
        <c:lblOffset val="100"/>
        <c:noMultiLvlLbl val="0"/>
      </c:catAx>
      <c:valAx>
        <c:axId val="1594391775"/>
        <c:scaling>
          <c:orientation val="minMax"/>
          <c:min val="5000"/>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827586751"/>
        <c:crosses val="autoZero"/>
        <c:crossBetween val="between"/>
        <c:majorUnit val="10000"/>
      </c:valAx>
      <c:valAx>
        <c:axId val="1594396095"/>
        <c:scaling>
          <c:orientation val="minMax"/>
          <c:max val="0.55000000000000004"/>
          <c:min val="0.35000000000000003"/>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002060"/>
                </a:solidFill>
                <a:latin typeface="+mn-lt"/>
                <a:ea typeface="+mn-ea"/>
                <a:cs typeface="+mn-cs"/>
              </a:defRPr>
            </a:pPr>
            <a:endParaRPr lang="en-US"/>
          </a:p>
        </c:txPr>
        <c:crossAx val="1494708511"/>
        <c:crosses val="max"/>
        <c:crossBetween val="between"/>
        <c:majorUnit val="5.000000000000001E-2"/>
      </c:valAx>
      <c:catAx>
        <c:axId val="1494708511"/>
        <c:scaling>
          <c:orientation val="minMax"/>
        </c:scaling>
        <c:delete val="1"/>
        <c:axPos val="b"/>
        <c:numFmt formatCode="General" sourceLinked="1"/>
        <c:majorTickMark val="out"/>
        <c:minorTickMark val="none"/>
        <c:tickLblPos val="nextTo"/>
        <c:crossAx val="1594396095"/>
        <c:crosses val="autoZero"/>
        <c:auto val="1"/>
        <c:lblAlgn val="ctr"/>
        <c:lblOffset val="100"/>
        <c:noMultiLvlLbl val="0"/>
      </c:catAx>
    </c:plotArea>
    <c:legend>
      <c:legendPos val="b"/>
      <c:legendEntry>
        <c:idx val="0"/>
        <c:txPr>
          <a:bodyPr rot="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[shoe_sales_raw_analysis.xlsx]Analysis!PivotTable8</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rgbClr val="002060"/>
                </a:solidFill>
              </a:rPr>
              <a:t>Revenue &amp; Profit by</a:t>
            </a:r>
            <a:r>
              <a:rPr lang="en-GB" b="1" baseline="0">
                <a:solidFill>
                  <a:srgbClr val="002060"/>
                </a:solidFill>
              </a:rPr>
              <a:t> Brand</a:t>
            </a:r>
            <a:endParaRPr lang="en-GB"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rgbClr val="FF000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dLbl>
          <c:idx val="0"/>
          <c:layout>
            <c:manualLayout>
              <c:x val="3.3226448383726216E-2"/>
              <c:y val="3.0824644181666375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3.8071532300763068E-17"/>
              <c:y val="-3.6989573017999704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00000"/>
          </a:solidFill>
          <a:ln>
            <a:noFill/>
          </a:ln>
          <a:effectLst/>
        </c:spPr>
        <c:dLbl>
          <c:idx val="0"/>
          <c:layout>
            <c:manualLayout>
              <c:x val="4.1533060479657033E-3"/>
              <c:y val="-6.781421719966608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dLbl>
          <c:idx val="0"/>
          <c:layout>
            <c:manualLayout>
              <c:x val="0"/>
              <c:y val="-6.781421719966608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060"/>
          </a:solidFill>
          <a:ln>
            <a:noFill/>
          </a:ln>
          <a:effectLst/>
        </c:spPr>
        <c:dLbl>
          <c:idx val="0"/>
          <c:layout>
            <c:manualLayout>
              <c:x val="2.4919836287794678E-2"/>
              <c:y val="0"/>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2060"/>
          </a:solidFill>
          <a:ln>
            <a:noFill/>
          </a:ln>
          <a:effectLst/>
        </c:spPr>
        <c:dLbl>
          <c:idx val="0"/>
          <c:layout>
            <c:manualLayout>
              <c:x val="3.7379754431692017E-2"/>
              <c:y val="0"/>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2060"/>
          </a:solidFill>
          <a:ln>
            <a:noFill/>
          </a:ln>
          <a:effectLst/>
        </c:spPr>
        <c:dLbl>
          <c:idx val="0"/>
          <c:layout>
            <c:manualLayout>
              <c:x val="2.9073142335760454E-2"/>
              <c:y val="0"/>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2060"/>
          </a:solidFill>
          <a:ln>
            <a:noFill/>
          </a:ln>
          <a:effectLst/>
        </c:spPr>
        <c:dLbl>
          <c:idx val="0"/>
          <c:layout>
            <c:manualLayout>
              <c:x val="2.9073142335760492E-2"/>
              <c:y val="1.2329857672666551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91831004224297E-2"/>
          <c:y val="0.16399307081484552"/>
          <c:w val="0.92284600487831958"/>
          <c:h val="0.48848890240194587"/>
        </c:manualLayout>
      </c:layout>
      <c:barChart>
        <c:barDir val="col"/>
        <c:grouping val="clustered"/>
        <c:varyColors val="0"/>
        <c:ser>
          <c:idx val="0"/>
          <c:order val="0"/>
          <c:tx>
            <c:strRef>
              <c:f>Analysis!$AU$3</c:f>
              <c:strCache>
                <c:ptCount val="1"/>
                <c:pt idx="0">
                  <c:v>Revenue </c:v>
                </c:pt>
              </c:strCache>
            </c:strRef>
          </c:tx>
          <c:spPr>
            <a:solidFill>
              <a:srgbClr val="C00000"/>
            </a:solidFill>
            <a:ln>
              <a:noFill/>
            </a:ln>
            <a:effectLst/>
          </c:spPr>
          <c:invertIfNegative val="0"/>
          <c:dPt>
            <c:idx val="1"/>
            <c:invertIfNegative val="0"/>
            <c:bubble3D val="0"/>
            <c:extLst>
              <c:ext xmlns:c16="http://schemas.microsoft.com/office/drawing/2014/chart" uri="{C3380CC4-5D6E-409C-BE32-E72D297353CC}">
                <c16:uniqueId val="{00000004-22F5-4C2C-BEFF-F0D0F0F46F88}"/>
              </c:ext>
            </c:extLst>
          </c:dPt>
          <c:dPt>
            <c:idx val="2"/>
            <c:invertIfNegative val="0"/>
            <c:bubble3D val="0"/>
            <c:spPr>
              <a:solidFill>
                <a:srgbClr val="C00000"/>
              </a:solidFill>
              <a:ln>
                <a:noFill/>
              </a:ln>
              <a:effectLst/>
            </c:spPr>
            <c:extLst>
              <c:ext xmlns:c16="http://schemas.microsoft.com/office/drawing/2014/chart" uri="{C3380CC4-5D6E-409C-BE32-E72D297353CC}">
                <c16:uniqueId val="{00000005-22F5-4C2C-BEFF-F0D0F0F46F88}"/>
              </c:ext>
            </c:extLst>
          </c:dPt>
          <c:dPt>
            <c:idx val="3"/>
            <c:invertIfNegative val="0"/>
            <c:bubble3D val="0"/>
            <c:spPr>
              <a:solidFill>
                <a:srgbClr val="C00000"/>
              </a:solidFill>
              <a:ln>
                <a:noFill/>
              </a:ln>
              <a:effectLst/>
            </c:spPr>
            <c:extLst>
              <c:ext xmlns:c16="http://schemas.microsoft.com/office/drawing/2014/chart" uri="{C3380CC4-5D6E-409C-BE32-E72D297353CC}">
                <c16:uniqueId val="{00000006-22F5-4C2C-BEFF-F0D0F0F46F88}"/>
              </c:ext>
            </c:extLst>
          </c:dPt>
          <c:dPt>
            <c:idx val="4"/>
            <c:invertIfNegative val="0"/>
            <c:bubble3D val="0"/>
            <c:spPr>
              <a:solidFill>
                <a:srgbClr val="C00000"/>
              </a:solidFill>
              <a:ln>
                <a:noFill/>
              </a:ln>
              <a:effectLst/>
            </c:spPr>
            <c:extLst>
              <c:ext xmlns:c16="http://schemas.microsoft.com/office/drawing/2014/chart" uri="{C3380CC4-5D6E-409C-BE32-E72D297353CC}">
                <c16:uniqueId val="{00000006-2FA0-4E6F-A42F-CABD0CAD803B}"/>
              </c:ext>
            </c:extLst>
          </c:dPt>
          <c:dLbls>
            <c:dLbl>
              <c:idx val="2"/>
              <c:layout>
                <c:manualLayout>
                  <c:x val="-3.8071532300763068E-17"/>
                  <c:y val="-3.698957301799970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2F5-4C2C-BEFF-F0D0F0F46F88}"/>
                </c:ext>
              </c:extLst>
            </c:dLbl>
            <c:dLbl>
              <c:idx val="3"/>
              <c:layout>
                <c:manualLayout>
                  <c:x val="4.1533060479657033E-3"/>
                  <c:y val="-6.781421719966608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2F5-4C2C-BEFF-F0D0F0F46F88}"/>
                </c:ext>
              </c:extLst>
            </c:dLbl>
            <c:dLbl>
              <c:idx val="4"/>
              <c:layout>
                <c:manualLayout>
                  <c:x val="0"/>
                  <c:y val="-6.781421719966608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FA0-4E6F-A42F-CABD0CAD803B}"/>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Analysis!$AT$4:$AT$9</c:f>
              <c:strCache>
                <c:ptCount val="5"/>
                <c:pt idx="0">
                  <c:v>Clarks</c:v>
                </c:pt>
                <c:pt idx="1">
                  <c:v>Zara</c:v>
                </c:pt>
                <c:pt idx="2">
                  <c:v>Nike</c:v>
                </c:pt>
                <c:pt idx="3">
                  <c:v>Steve Madden</c:v>
                </c:pt>
                <c:pt idx="4">
                  <c:v>Timberland</c:v>
                </c:pt>
              </c:strCache>
            </c:strRef>
          </c:cat>
          <c:val>
            <c:numRef>
              <c:f>Analysis!$AU$4:$AU$9</c:f>
              <c:numCache>
                <c:formatCode>"$"#,##0</c:formatCode>
                <c:ptCount val="5"/>
                <c:pt idx="0">
                  <c:v>123543</c:v>
                </c:pt>
                <c:pt idx="1">
                  <c:v>94797</c:v>
                </c:pt>
                <c:pt idx="2">
                  <c:v>54029</c:v>
                </c:pt>
                <c:pt idx="3">
                  <c:v>43855</c:v>
                </c:pt>
                <c:pt idx="4">
                  <c:v>38824</c:v>
                </c:pt>
              </c:numCache>
            </c:numRef>
          </c:val>
          <c:extLst>
            <c:ext xmlns:c16="http://schemas.microsoft.com/office/drawing/2014/chart" uri="{C3380CC4-5D6E-409C-BE32-E72D297353CC}">
              <c16:uniqueId val="{00000000-22F5-4C2C-BEFF-F0D0F0F46F88}"/>
            </c:ext>
          </c:extLst>
        </c:ser>
        <c:ser>
          <c:idx val="1"/>
          <c:order val="1"/>
          <c:tx>
            <c:strRef>
              <c:f>Analysis!$AV$3</c:f>
              <c:strCache>
                <c:ptCount val="1"/>
                <c:pt idx="0">
                  <c:v>Profit </c:v>
                </c:pt>
              </c:strCache>
            </c:strRef>
          </c:tx>
          <c:spPr>
            <a:solidFill>
              <a:srgbClr val="002060"/>
            </a:solidFill>
            <a:ln>
              <a:noFill/>
            </a:ln>
            <a:effectLst/>
          </c:spPr>
          <c:invertIfNegative val="0"/>
          <c:dPt>
            <c:idx val="0"/>
            <c:invertIfNegative val="0"/>
            <c:bubble3D val="0"/>
            <c:extLst>
              <c:ext xmlns:c16="http://schemas.microsoft.com/office/drawing/2014/chart" uri="{C3380CC4-5D6E-409C-BE32-E72D297353CC}">
                <c16:uniqueId val="{00000003-22F5-4C2C-BEFF-F0D0F0F46F88}"/>
              </c:ext>
            </c:extLst>
          </c:dPt>
          <c:dPt>
            <c:idx val="1"/>
            <c:invertIfNegative val="0"/>
            <c:bubble3D val="0"/>
            <c:extLst>
              <c:ext xmlns:c16="http://schemas.microsoft.com/office/drawing/2014/chart" uri="{C3380CC4-5D6E-409C-BE32-E72D297353CC}">
                <c16:uniqueId val="{00000002-22F5-4C2C-BEFF-F0D0F0F46F88}"/>
              </c:ext>
            </c:extLst>
          </c:dPt>
          <c:dPt>
            <c:idx val="2"/>
            <c:invertIfNegative val="0"/>
            <c:bubble3D val="0"/>
            <c:extLst>
              <c:ext xmlns:c16="http://schemas.microsoft.com/office/drawing/2014/chart" uri="{C3380CC4-5D6E-409C-BE32-E72D297353CC}">
                <c16:uniqueId val="{00000009-22F5-4C2C-BEFF-F0D0F0F46F88}"/>
              </c:ext>
            </c:extLst>
          </c:dPt>
          <c:dPt>
            <c:idx val="3"/>
            <c:invertIfNegative val="0"/>
            <c:bubble3D val="0"/>
            <c:extLst>
              <c:ext xmlns:c16="http://schemas.microsoft.com/office/drawing/2014/chart" uri="{C3380CC4-5D6E-409C-BE32-E72D297353CC}">
                <c16:uniqueId val="{00000008-22F5-4C2C-BEFF-F0D0F0F46F88}"/>
              </c:ext>
            </c:extLst>
          </c:dPt>
          <c:dPt>
            <c:idx val="4"/>
            <c:invertIfNegative val="0"/>
            <c:bubble3D val="0"/>
            <c:extLst>
              <c:ext xmlns:c16="http://schemas.microsoft.com/office/drawing/2014/chart" uri="{C3380CC4-5D6E-409C-BE32-E72D297353CC}">
                <c16:uniqueId val="{00000007-22F5-4C2C-BEFF-F0D0F0F46F88}"/>
              </c:ext>
            </c:extLst>
          </c:dPt>
          <c:dLbls>
            <c:dLbl>
              <c:idx val="0"/>
              <c:layout>
                <c:manualLayout>
                  <c:x val="3.3226448383726216E-2"/>
                  <c:y val="3.082464418166637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2F5-4C2C-BEFF-F0D0F0F46F88}"/>
                </c:ext>
              </c:extLst>
            </c:dLbl>
            <c:dLbl>
              <c:idx val="1"/>
              <c:layout>
                <c:manualLayout>
                  <c:x val="2.491983628779467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2F5-4C2C-BEFF-F0D0F0F46F88}"/>
                </c:ext>
              </c:extLst>
            </c:dLbl>
            <c:dLbl>
              <c:idx val="2"/>
              <c:layout>
                <c:manualLayout>
                  <c:x val="2.9073142335760492E-2"/>
                  <c:y val="1.232985767266655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2F5-4C2C-BEFF-F0D0F0F46F88}"/>
                </c:ext>
              </c:extLst>
            </c:dLbl>
            <c:dLbl>
              <c:idx val="3"/>
              <c:layout>
                <c:manualLayout>
                  <c:x val="2.9073142335760454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2F5-4C2C-BEFF-F0D0F0F46F88}"/>
                </c:ext>
              </c:extLst>
            </c:dLbl>
            <c:dLbl>
              <c:idx val="4"/>
              <c:layout>
                <c:manualLayout>
                  <c:x val="3.737975443169201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2F5-4C2C-BEFF-F0D0F0F46F8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Analysis!$AT$4:$AT$9</c:f>
              <c:strCache>
                <c:ptCount val="5"/>
                <c:pt idx="0">
                  <c:v>Clarks</c:v>
                </c:pt>
                <c:pt idx="1">
                  <c:v>Zara</c:v>
                </c:pt>
                <c:pt idx="2">
                  <c:v>Nike</c:v>
                </c:pt>
                <c:pt idx="3">
                  <c:v>Steve Madden</c:v>
                </c:pt>
                <c:pt idx="4">
                  <c:v>Timberland</c:v>
                </c:pt>
              </c:strCache>
            </c:strRef>
          </c:cat>
          <c:val>
            <c:numRef>
              <c:f>Analysis!$AV$4:$AV$9</c:f>
              <c:numCache>
                <c:formatCode>"$"#,##0</c:formatCode>
                <c:ptCount val="5"/>
                <c:pt idx="0">
                  <c:v>56574</c:v>
                </c:pt>
                <c:pt idx="1">
                  <c:v>43424</c:v>
                </c:pt>
                <c:pt idx="2">
                  <c:v>24513</c:v>
                </c:pt>
                <c:pt idx="3">
                  <c:v>19932</c:v>
                </c:pt>
                <c:pt idx="4">
                  <c:v>17892</c:v>
                </c:pt>
              </c:numCache>
            </c:numRef>
          </c:val>
          <c:extLst>
            <c:ext xmlns:c16="http://schemas.microsoft.com/office/drawing/2014/chart" uri="{C3380CC4-5D6E-409C-BE32-E72D297353CC}">
              <c16:uniqueId val="{00000001-22F5-4C2C-BEFF-F0D0F0F46F88}"/>
            </c:ext>
          </c:extLst>
        </c:ser>
        <c:dLbls>
          <c:dLblPos val="outEnd"/>
          <c:showLegendKey val="0"/>
          <c:showVal val="1"/>
          <c:showCatName val="0"/>
          <c:showSerName val="0"/>
          <c:showPercent val="0"/>
          <c:showBubbleSize val="0"/>
        </c:dLbls>
        <c:gapWidth val="219"/>
        <c:overlap val="-27"/>
        <c:axId val="1279840623"/>
        <c:axId val="1594385055"/>
      </c:barChart>
      <c:catAx>
        <c:axId val="12798406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1620000" spcFirstLastPara="1" vertOverflow="ellipsis" wrap="square" anchor="ctr" anchorCtr="1"/>
          <a:lstStyle/>
          <a:p>
            <a:pPr>
              <a:defRPr sz="900" b="0" i="0" u="none" strike="noStrike" kern="1200" baseline="0">
                <a:solidFill>
                  <a:srgbClr val="002060"/>
                </a:solidFill>
                <a:latin typeface="+mn-lt"/>
                <a:ea typeface="+mn-ea"/>
                <a:cs typeface="+mn-cs"/>
              </a:defRPr>
            </a:pPr>
            <a:endParaRPr lang="en-US"/>
          </a:p>
        </c:txPr>
        <c:crossAx val="1594385055"/>
        <c:crosses val="autoZero"/>
        <c:auto val="1"/>
        <c:lblAlgn val="ctr"/>
        <c:lblOffset val="100"/>
        <c:noMultiLvlLbl val="0"/>
      </c:catAx>
      <c:valAx>
        <c:axId val="1594385055"/>
        <c:scaling>
          <c:orientation val="minMax"/>
          <c:max val="140000"/>
          <c:min val="10000"/>
        </c:scaling>
        <c:delete val="1"/>
        <c:axPos val="l"/>
        <c:numFmt formatCode="&quot;$&quot;#,##0" sourceLinked="1"/>
        <c:majorTickMark val="out"/>
        <c:minorTickMark val="none"/>
        <c:tickLblPos val="nextTo"/>
        <c:crossAx val="12798406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[shoe_sales_raw_analysis.xlsx]Analysis!PivotTable10</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rgbClr val="002060"/>
                </a:solidFill>
              </a:rPr>
              <a:t>Top 5 Countries Driving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dLbl>
          <c:idx val="0"/>
          <c:layout>
            <c:manualLayout>
              <c:x val="3.5657830824650495E-2"/>
              <c:y val="-5.626935059357067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dLbl>
          <c:idx val="0"/>
          <c:layout>
            <c:manualLayout>
              <c:x val="2.7733868419172619E-2"/>
              <c:y val="-5.626935059357067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dLbl>
          <c:idx val="0"/>
          <c:layout>
            <c:manualLayout>
              <c:x val="4.3581793230128403E-2"/>
              <c:y val="-5.626935059357067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c:spPr>
        <c:dLbl>
          <c:idx val="0"/>
          <c:layout>
            <c:manualLayout>
              <c:x val="3.5657830824650363E-2"/>
              <c:y val="-1.1253870118714136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a:noFill/>
          </a:ln>
          <a:effectLst/>
        </c:spPr>
        <c:dLbl>
          <c:idx val="0"/>
          <c:layout>
            <c:manualLayout>
              <c:x val="3.1695849621911423E-2"/>
              <c:y val="-1.1253870118714136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Analysis!$BO$3</c:f>
              <c:strCache>
                <c:ptCount val="1"/>
                <c:pt idx="0">
                  <c:v>Revenue </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Analysis!$BN$4:$BN$9</c:f>
              <c:strCache>
                <c:ptCount val="5"/>
                <c:pt idx="0">
                  <c:v>USA</c:v>
                </c:pt>
                <c:pt idx="1">
                  <c:v>UK</c:v>
                </c:pt>
                <c:pt idx="2">
                  <c:v>Ghana</c:v>
                </c:pt>
                <c:pt idx="3">
                  <c:v>Zimbabwe</c:v>
                </c:pt>
                <c:pt idx="4">
                  <c:v>India</c:v>
                </c:pt>
              </c:strCache>
            </c:strRef>
          </c:cat>
          <c:val>
            <c:numRef>
              <c:f>Analysis!$BO$4:$BO$9</c:f>
              <c:numCache>
                <c:formatCode>"$"#,##0</c:formatCode>
                <c:ptCount val="5"/>
                <c:pt idx="0">
                  <c:v>39127</c:v>
                </c:pt>
                <c:pt idx="1">
                  <c:v>32871</c:v>
                </c:pt>
                <c:pt idx="2">
                  <c:v>32026</c:v>
                </c:pt>
                <c:pt idx="3">
                  <c:v>30124</c:v>
                </c:pt>
                <c:pt idx="4">
                  <c:v>29392</c:v>
                </c:pt>
              </c:numCache>
            </c:numRef>
          </c:val>
          <c:extLst>
            <c:ext xmlns:c16="http://schemas.microsoft.com/office/drawing/2014/chart" uri="{C3380CC4-5D6E-409C-BE32-E72D297353CC}">
              <c16:uniqueId val="{00000000-CA69-4A0F-8ED0-2D7E3648BBBF}"/>
            </c:ext>
          </c:extLst>
        </c:ser>
        <c:ser>
          <c:idx val="1"/>
          <c:order val="1"/>
          <c:tx>
            <c:strRef>
              <c:f>Analysis!$BP$3</c:f>
              <c:strCache>
                <c:ptCount val="1"/>
                <c:pt idx="0">
                  <c:v> Profit</c:v>
                </c:pt>
              </c:strCache>
            </c:strRef>
          </c:tx>
          <c:spPr>
            <a:solidFill>
              <a:srgbClr val="002060"/>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3-CA69-4A0F-8ED0-2D7E3648BBBF}"/>
              </c:ext>
            </c:extLst>
          </c:dPt>
          <c:dPt>
            <c:idx val="1"/>
            <c:invertIfNegative val="0"/>
            <c:bubble3D val="0"/>
            <c:spPr>
              <a:solidFill>
                <a:srgbClr val="002060"/>
              </a:solidFill>
              <a:ln>
                <a:noFill/>
              </a:ln>
              <a:effectLst/>
            </c:spPr>
            <c:extLst>
              <c:ext xmlns:c16="http://schemas.microsoft.com/office/drawing/2014/chart" uri="{C3380CC4-5D6E-409C-BE32-E72D297353CC}">
                <c16:uniqueId val="{00000004-CA69-4A0F-8ED0-2D7E3648BBBF}"/>
              </c:ext>
            </c:extLst>
          </c:dPt>
          <c:dPt>
            <c:idx val="2"/>
            <c:invertIfNegative val="0"/>
            <c:bubble3D val="0"/>
            <c:spPr>
              <a:solidFill>
                <a:srgbClr val="002060"/>
              </a:solidFill>
              <a:ln>
                <a:noFill/>
              </a:ln>
              <a:effectLst/>
            </c:spPr>
            <c:extLst>
              <c:ext xmlns:c16="http://schemas.microsoft.com/office/drawing/2014/chart" uri="{C3380CC4-5D6E-409C-BE32-E72D297353CC}">
                <c16:uniqueId val="{00000005-CA69-4A0F-8ED0-2D7E3648BBBF}"/>
              </c:ext>
            </c:extLst>
          </c:dPt>
          <c:dPt>
            <c:idx val="3"/>
            <c:invertIfNegative val="0"/>
            <c:bubble3D val="0"/>
            <c:spPr>
              <a:solidFill>
                <a:srgbClr val="002060"/>
              </a:solidFill>
              <a:ln>
                <a:noFill/>
              </a:ln>
              <a:effectLst/>
            </c:spPr>
            <c:extLst>
              <c:ext xmlns:c16="http://schemas.microsoft.com/office/drawing/2014/chart" uri="{C3380CC4-5D6E-409C-BE32-E72D297353CC}">
                <c16:uniqueId val="{00000006-CA69-4A0F-8ED0-2D7E3648BBBF}"/>
              </c:ext>
            </c:extLst>
          </c:dPt>
          <c:dPt>
            <c:idx val="4"/>
            <c:invertIfNegative val="0"/>
            <c:bubble3D val="0"/>
            <c:spPr>
              <a:solidFill>
                <a:srgbClr val="002060"/>
              </a:solidFill>
              <a:ln>
                <a:noFill/>
              </a:ln>
              <a:effectLst/>
            </c:spPr>
            <c:extLst>
              <c:ext xmlns:c16="http://schemas.microsoft.com/office/drawing/2014/chart" uri="{C3380CC4-5D6E-409C-BE32-E72D297353CC}">
                <c16:uniqueId val="{00000007-CA69-4A0F-8ED0-2D7E3648BBBF}"/>
              </c:ext>
            </c:extLst>
          </c:dPt>
          <c:dLbls>
            <c:dLbl>
              <c:idx val="0"/>
              <c:layout>
                <c:manualLayout>
                  <c:x val="3.5657830824650495E-2"/>
                  <c:y val="-5.626935059357067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A69-4A0F-8ED0-2D7E3648BBBF}"/>
                </c:ext>
              </c:extLst>
            </c:dLbl>
            <c:dLbl>
              <c:idx val="1"/>
              <c:layout>
                <c:manualLayout>
                  <c:x val="2.7733868419172619E-2"/>
                  <c:y val="-5.626935059357067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A69-4A0F-8ED0-2D7E3648BBBF}"/>
                </c:ext>
              </c:extLst>
            </c:dLbl>
            <c:dLbl>
              <c:idx val="2"/>
              <c:layout>
                <c:manualLayout>
                  <c:x val="4.3581793230128403E-2"/>
                  <c:y val="-5.626935059357067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A69-4A0F-8ED0-2D7E3648BBBF}"/>
                </c:ext>
              </c:extLst>
            </c:dLbl>
            <c:dLbl>
              <c:idx val="3"/>
              <c:layout>
                <c:manualLayout>
                  <c:x val="3.5657830824650363E-2"/>
                  <c:y val="-1.1253870118714136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A69-4A0F-8ED0-2D7E3648BBBF}"/>
                </c:ext>
              </c:extLst>
            </c:dLbl>
            <c:dLbl>
              <c:idx val="4"/>
              <c:layout>
                <c:manualLayout>
                  <c:x val="3.1695849621911423E-2"/>
                  <c:y val="-1.1253870118714136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A69-4A0F-8ED0-2D7E3648BBB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Analysis!$BN$4:$BN$9</c:f>
              <c:strCache>
                <c:ptCount val="5"/>
                <c:pt idx="0">
                  <c:v>USA</c:v>
                </c:pt>
                <c:pt idx="1">
                  <c:v>UK</c:v>
                </c:pt>
                <c:pt idx="2">
                  <c:v>Ghana</c:v>
                </c:pt>
                <c:pt idx="3">
                  <c:v>Zimbabwe</c:v>
                </c:pt>
                <c:pt idx="4">
                  <c:v>India</c:v>
                </c:pt>
              </c:strCache>
            </c:strRef>
          </c:cat>
          <c:val>
            <c:numRef>
              <c:f>Analysis!$BP$4:$BP$9</c:f>
              <c:numCache>
                <c:formatCode>"$"#,##0</c:formatCode>
                <c:ptCount val="5"/>
                <c:pt idx="0">
                  <c:v>17892</c:v>
                </c:pt>
                <c:pt idx="1">
                  <c:v>15393</c:v>
                </c:pt>
                <c:pt idx="2">
                  <c:v>14468</c:v>
                </c:pt>
                <c:pt idx="3">
                  <c:v>13584</c:v>
                </c:pt>
                <c:pt idx="4">
                  <c:v>13441</c:v>
                </c:pt>
              </c:numCache>
            </c:numRef>
          </c:val>
          <c:extLst>
            <c:ext xmlns:c16="http://schemas.microsoft.com/office/drawing/2014/chart" uri="{C3380CC4-5D6E-409C-BE32-E72D297353CC}">
              <c16:uniqueId val="{00000001-CA69-4A0F-8ED0-2D7E3648BBBF}"/>
            </c:ext>
          </c:extLst>
        </c:ser>
        <c:dLbls>
          <c:dLblPos val="outEnd"/>
          <c:showLegendKey val="0"/>
          <c:showVal val="1"/>
          <c:showCatName val="0"/>
          <c:showSerName val="0"/>
          <c:showPercent val="0"/>
          <c:showBubbleSize val="0"/>
        </c:dLbls>
        <c:gapWidth val="219"/>
        <c:overlap val="-27"/>
        <c:axId val="1605098495"/>
        <c:axId val="1594423935"/>
      </c:barChart>
      <c:catAx>
        <c:axId val="160509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002060"/>
                </a:solidFill>
                <a:latin typeface="+mn-lt"/>
                <a:ea typeface="+mn-ea"/>
                <a:cs typeface="+mn-cs"/>
              </a:defRPr>
            </a:pPr>
            <a:endParaRPr lang="en-US"/>
          </a:p>
        </c:txPr>
        <c:crossAx val="1594423935"/>
        <c:crosses val="autoZero"/>
        <c:auto val="1"/>
        <c:lblAlgn val="ctr"/>
        <c:lblOffset val="100"/>
        <c:noMultiLvlLbl val="0"/>
      </c:catAx>
      <c:valAx>
        <c:axId val="1594423935"/>
        <c:scaling>
          <c:orientation val="minMax"/>
        </c:scaling>
        <c:delete val="1"/>
        <c:axPos val="l"/>
        <c:numFmt formatCode="&quot;$&quot;#,##0" sourceLinked="1"/>
        <c:majorTickMark val="none"/>
        <c:minorTickMark val="none"/>
        <c:tickLblPos val="nextTo"/>
        <c:crossAx val="16050984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[shoe_sales_raw_analysis.xlsx]Analysis!PivotTable9</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Distribution</a:t>
            </a:r>
            <a:r>
              <a:rPr lang="en-US" b="1" baseline="0">
                <a:solidFill>
                  <a:srgbClr val="002060"/>
                </a:solidFill>
              </a:rPr>
              <a:t> of </a:t>
            </a:r>
            <a:r>
              <a:rPr lang="en-US" b="1">
                <a:solidFill>
                  <a:srgbClr val="002060"/>
                </a:solidFill>
              </a:rPr>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w="19050">
            <a:noFill/>
          </a:ln>
          <a:effectLst/>
        </c:spPr>
        <c:dLbl>
          <c:idx val="0"/>
          <c:layout>
            <c:manualLayout>
              <c:x val="0.1694453371404844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00B0F0"/>
          </a:solidFill>
          <a:ln w="19050">
            <a:noFill/>
          </a:ln>
          <a:effectLst/>
        </c:spPr>
        <c:dLbl>
          <c:idx val="0"/>
          <c:layout>
            <c:manualLayout>
              <c:x val="-0.15630298703994949"/>
              <c:y val="5.36623589140415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7030A0"/>
          </a:solidFill>
          <a:ln w="19050">
            <a:noFill/>
          </a:ln>
          <a:effectLst/>
        </c:spPr>
        <c:dLbl>
          <c:idx val="0"/>
          <c:layout>
            <c:manualLayout>
              <c:x val="-0.23793196613379827"/>
              <c:y val="-6.391908022454420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0B050"/>
          </a:solidFill>
          <a:ln w="19050">
            <a:noFill/>
          </a:ln>
          <a:effectLst/>
        </c:spPr>
        <c:dLbl>
          <c:idx val="0"/>
          <c:layout>
            <c:manualLayout>
              <c:x val="-0.18323696956080301"/>
              <c:y val="-4.49741109594356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F0000"/>
          </a:solidFill>
          <a:ln w="19050">
            <a:noFill/>
          </a:ln>
          <a:effectLst/>
        </c:spPr>
        <c:dLbl>
          <c:idx val="0"/>
          <c:layout>
            <c:manualLayout>
              <c:x val="0.1694453371404844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00B0F0"/>
          </a:solidFill>
          <a:ln w="19050">
            <a:noFill/>
          </a:ln>
          <a:effectLst/>
        </c:spPr>
        <c:dLbl>
          <c:idx val="0"/>
          <c:layout>
            <c:manualLayout>
              <c:x val="-0.15630298703994949"/>
              <c:y val="5.36623589140415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00B050"/>
          </a:solidFill>
          <a:ln w="19050">
            <a:noFill/>
          </a:ln>
          <a:effectLst/>
        </c:spPr>
        <c:dLbl>
          <c:idx val="0"/>
          <c:layout>
            <c:manualLayout>
              <c:x val="-0.18323696956080301"/>
              <c:y val="-4.49741109594356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7030A0"/>
          </a:solidFill>
          <a:ln w="19050">
            <a:noFill/>
          </a:ln>
          <a:effectLst/>
        </c:spPr>
        <c:dLbl>
          <c:idx val="0"/>
          <c:layout>
            <c:manualLayout>
              <c:x val="-0.23793196613379827"/>
              <c:y val="-6.391908022454420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FF0000"/>
          </a:solidFill>
          <a:ln w="19050">
            <a:noFill/>
          </a:ln>
          <a:effectLst/>
        </c:spPr>
        <c:dLbl>
          <c:idx val="0"/>
          <c:layout>
            <c:manualLayout>
              <c:x val="0.1694453371404844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00B0F0"/>
          </a:solidFill>
          <a:ln w="19050">
            <a:noFill/>
          </a:ln>
          <a:effectLst/>
        </c:spPr>
        <c:dLbl>
          <c:idx val="0"/>
          <c:layout>
            <c:manualLayout>
              <c:x val="-0.15630298703994949"/>
              <c:y val="5.36623589140415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00B050"/>
          </a:solidFill>
          <a:ln w="19050">
            <a:noFill/>
          </a:ln>
          <a:effectLst/>
        </c:spPr>
        <c:dLbl>
          <c:idx val="0"/>
          <c:layout>
            <c:manualLayout>
              <c:x val="-0.18323696956080301"/>
              <c:y val="-4.49741109594356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rgbClr val="7030A0"/>
          </a:solidFill>
          <a:ln w="19050">
            <a:noFill/>
          </a:ln>
          <a:effectLst/>
        </c:spPr>
        <c:dLbl>
          <c:idx val="0"/>
          <c:layout>
            <c:manualLayout>
              <c:x val="-0.23793196613379827"/>
              <c:y val="-6.391908022454420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Analysis!$BE$3</c:f>
              <c:strCache>
                <c:ptCount val="1"/>
                <c:pt idx="0">
                  <c:v>Total</c:v>
                </c:pt>
              </c:strCache>
            </c:strRef>
          </c:tx>
          <c:spPr>
            <a:ln>
              <a:noFill/>
            </a:ln>
          </c:spPr>
          <c:dPt>
            <c:idx val="0"/>
            <c:bubble3D val="0"/>
            <c:spPr>
              <a:solidFill>
                <a:srgbClr val="FF0000"/>
              </a:solidFill>
              <a:ln w="19050">
                <a:noFill/>
              </a:ln>
              <a:effectLst/>
            </c:spPr>
            <c:extLst>
              <c:ext xmlns:c16="http://schemas.microsoft.com/office/drawing/2014/chart" uri="{C3380CC4-5D6E-409C-BE32-E72D297353CC}">
                <c16:uniqueId val="{00000001-74B5-434A-AD02-EBB8D05B1A23}"/>
              </c:ext>
            </c:extLst>
          </c:dPt>
          <c:dPt>
            <c:idx val="1"/>
            <c:bubble3D val="0"/>
            <c:spPr>
              <a:solidFill>
                <a:srgbClr val="00B0F0"/>
              </a:solidFill>
              <a:ln w="19050">
                <a:noFill/>
              </a:ln>
              <a:effectLst/>
            </c:spPr>
            <c:extLst>
              <c:ext xmlns:c16="http://schemas.microsoft.com/office/drawing/2014/chart" uri="{C3380CC4-5D6E-409C-BE32-E72D297353CC}">
                <c16:uniqueId val="{00000003-74B5-434A-AD02-EBB8D05B1A23}"/>
              </c:ext>
            </c:extLst>
          </c:dPt>
          <c:dPt>
            <c:idx val="2"/>
            <c:bubble3D val="0"/>
            <c:spPr>
              <a:solidFill>
                <a:srgbClr val="00B050"/>
              </a:solidFill>
              <a:ln w="19050">
                <a:noFill/>
              </a:ln>
              <a:effectLst/>
            </c:spPr>
            <c:extLst>
              <c:ext xmlns:c16="http://schemas.microsoft.com/office/drawing/2014/chart" uri="{C3380CC4-5D6E-409C-BE32-E72D297353CC}">
                <c16:uniqueId val="{00000005-74B5-434A-AD02-EBB8D05B1A23}"/>
              </c:ext>
            </c:extLst>
          </c:dPt>
          <c:dPt>
            <c:idx val="3"/>
            <c:bubble3D val="0"/>
            <c:spPr>
              <a:solidFill>
                <a:srgbClr val="7030A0"/>
              </a:solidFill>
              <a:ln w="19050">
                <a:noFill/>
              </a:ln>
              <a:effectLst/>
            </c:spPr>
            <c:extLst>
              <c:ext xmlns:c16="http://schemas.microsoft.com/office/drawing/2014/chart" uri="{C3380CC4-5D6E-409C-BE32-E72D297353CC}">
                <c16:uniqueId val="{00000007-74B5-434A-AD02-EBB8D05B1A23}"/>
              </c:ext>
            </c:extLst>
          </c:dPt>
          <c:dLbls>
            <c:dLbl>
              <c:idx val="0"/>
              <c:layout>
                <c:manualLayout>
                  <c:x val="0.16944533714048443"/>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4B5-434A-AD02-EBB8D05B1A23}"/>
                </c:ext>
              </c:extLst>
            </c:dLbl>
            <c:dLbl>
              <c:idx val="1"/>
              <c:layout>
                <c:manualLayout>
                  <c:x val="-0.15630298703994949"/>
                  <c:y val="5.36623589140415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4B5-434A-AD02-EBB8D05B1A23}"/>
                </c:ext>
              </c:extLst>
            </c:dLbl>
            <c:dLbl>
              <c:idx val="2"/>
              <c:layout>
                <c:manualLayout>
                  <c:x val="-0.18323696956080301"/>
                  <c:y val="-4.497411095943561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5-434A-AD02-EBB8D05B1A23}"/>
                </c:ext>
              </c:extLst>
            </c:dLbl>
            <c:dLbl>
              <c:idx val="3"/>
              <c:layout>
                <c:manualLayout>
                  <c:x val="-0.23793196613379827"/>
                  <c:y val="-6.391908022454420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4B5-434A-AD02-EBB8D05B1A2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rgbClr val="002060"/>
                  </a:solidFill>
                  <a:round/>
                </a:ln>
                <a:effectLst/>
              </c:spPr>
            </c:leaderLines>
            <c:extLst>
              <c:ext xmlns:c15="http://schemas.microsoft.com/office/drawing/2012/chart" uri="{CE6537A1-D6FC-4f65-9D91-7224C49458BB}"/>
            </c:extLst>
          </c:dLbls>
          <c:cat>
            <c:strRef>
              <c:f>Analysis!$BD$4:$BD$8</c:f>
              <c:strCache>
                <c:ptCount val="4"/>
                <c:pt idx="0">
                  <c:v>Formal</c:v>
                </c:pt>
                <c:pt idx="1">
                  <c:v>Casual</c:v>
                </c:pt>
                <c:pt idx="2">
                  <c:v>Open</c:v>
                </c:pt>
                <c:pt idx="3">
                  <c:v>Utility</c:v>
                </c:pt>
              </c:strCache>
            </c:strRef>
          </c:cat>
          <c:val>
            <c:numRef>
              <c:f>Analysis!$BE$4:$BE$8</c:f>
              <c:numCache>
                <c:formatCode>"$"#,##0</c:formatCode>
                <c:ptCount val="4"/>
                <c:pt idx="0">
                  <c:v>179935</c:v>
                </c:pt>
                <c:pt idx="1">
                  <c:v>82917</c:v>
                </c:pt>
                <c:pt idx="2">
                  <c:v>53035</c:v>
                </c:pt>
                <c:pt idx="3">
                  <c:v>39161</c:v>
                </c:pt>
              </c:numCache>
            </c:numRef>
          </c:val>
          <c:extLst>
            <c:ext xmlns:c16="http://schemas.microsoft.com/office/drawing/2014/chart" uri="{C3380CC4-5D6E-409C-BE32-E72D297353CC}">
              <c16:uniqueId val="{00000008-74B5-434A-AD02-EBB8D05B1A23}"/>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12</xdr:col>
      <xdr:colOff>141110</xdr:colOff>
      <xdr:row>1</xdr:row>
      <xdr:rowOff>85811</xdr:rowOff>
    </xdr:from>
    <xdr:to>
      <xdr:col>16</xdr:col>
      <xdr:colOff>420472</xdr:colOff>
      <xdr:row>13</xdr:row>
      <xdr:rowOff>205756</xdr:rowOff>
    </xdr:to>
    <xdr:graphicFrame macro="">
      <xdr:nvGraphicFramePr>
        <xdr:cNvPr id="2" name="Chart 1">
          <a:extLst>
            <a:ext uri="{FF2B5EF4-FFF2-40B4-BE49-F238E27FC236}">
              <a16:creationId xmlns:a16="http://schemas.microsoft.com/office/drawing/2014/main" id="{AFD19336-3B96-980E-3BD2-46FF655C92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35</xdr:col>
      <xdr:colOff>106123</xdr:colOff>
      <xdr:row>1</xdr:row>
      <xdr:rowOff>59324</xdr:rowOff>
    </xdr:from>
    <xdr:to>
      <xdr:col>42</xdr:col>
      <xdr:colOff>415795</xdr:colOff>
      <xdr:row>15</xdr:row>
      <xdr:rowOff>166839</xdr:rowOff>
    </xdr:to>
    <xdr:graphicFrame macro="">
      <xdr:nvGraphicFramePr>
        <xdr:cNvPr id="4" name="Chart 3">
          <a:extLst>
            <a:ext uri="{FF2B5EF4-FFF2-40B4-BE49-F238E27FC236}">
              <a16:creationId xmlns:a16="http://schemas.microsoft.com/office/drawing/2014/main" id="{8809E0B9-0A16-73F9-C432-CCB9E3BD56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48</xdr:col>
      <xdr:colOff>182933</xdr:colOff>
      <xdr:row>1</xdr:row>
      <xdr:rowOff>75914</xdr:rowOff>
    </xdr:from>
    <xdr:to>
      <xdr:col>54</xdr:col>
      <xdr:colOff>487754</xdr:colOff>
      <xdr:row>15</xdr:row>
      <xdr:rowOff>176388</xdr:rowOff>
    </xdr:to>
    <xdr:graphicFrame macro="">
      <xdr:nvGraphicFramePr>
        <xdr:cNvPr id="6" name="Chart 5">
          <a:extLst>
            <a:ext uri="{FF2B5EF4-FFF2-40B4-BE49-F238E27FC236}">
              <a16:creationId xmlns:a16="http://schemas.microsoft.com/office/drawing/2014/main" id="{3BCB2917-D108-D2BD-6C73-43DED2A038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57</xdr:col>
      <xdr:colOff>214491</xdr:colOff>
      <xdr:row>1</xdr:row>
      <xdr:rowOff>108962</xdr:rowOff>
    </xdr:from>
    <xdr:to>
      <xdr:col>62</xdr:col>
      <xdr:colOff>394728</xdr:colOff>
      <xdr:row>16</xdr:row>
      <xdr:rowOff>178415</xdr:rowOff>
    </xdr:to>
    <xdr:graphicFrame macro="">
      <xdr:nvGraphicFramePr>
        <xdr:cNvPr id="7" name="Chart 6">
          <a:extLst>
            <a:ext uri="{FF2B5EF4-FFF2-40B4-BE49-F238E27FC236}">
              <a16:creationId xmlns:a16="http://schemas.microsoft.com/office/drawing/2014/main" id="{92CA147F-2E33-19A6-2F01-F06365D486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64</xdr:col>
      <xdr:colOff>367766</xdr:colOff>
      <xdr:row>9</xdr:row>
      <xdr:rowOff>123067</xdr:rowOff>
    </xdr:from>
    <xdr:to>
      <xdr:col>70</xdr:col>
      <xdr:colOff>17162</xdr:colOff>
      <xdr:row>23</xdr:row>
      <xdr:rowOff>30610</xdr:rowOff>
    </xdr:to>
    <xdr:graphicFrame macro="">
      <xdr:nvGraphicFramePr>
        <xdr:cNvPr id="9" name="Chart 8">
          <a:extLst>
            <a:ext uri="{FF2B5EF4-FFF2-40B4-BE49-F238E27FC236}">
              <a16:creationId xmlns:a16="http://schemas.microsoft.com/office/drawing/2014/main" id="{4B27346D-9614-B7B0-0273-AF0B5610E4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74</xdr:col>
      <xdr:colOff>36325</xdr:colOff>
      <xdr:row>13</xdr:row>
      <xdr:rowOff>173759</xdr:rowOff>
    </xdr:from>
    <xdr:to>
      <xdr:col>80</xdr:col>
      <xdr:colOff>82826</xdr:colOff>
      <xdr:row>30</xdr:row>
      <xdr:rowOff>69021</xdr:rowOff>
    </xdr:to>
    <xdr:graphicFrame macro="">
      <xdr:nvGraphicFramePr>
        <xdr:cNvPr id="10" name="Chart 9">
          <a:extLst>
            <a:ext uri="{FF2B5EF4-FFF2-40B4-BE49-F238E27FC236}">
              <a16:creationId xmlns:a16="http://schemas.microsoft.com/office/drawing/2014/main" id="{5952F78B-F188-22EC-4F62-26B5934307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281352</xdr:colOff>
      <xdr:row>1</xdr:row>
      <xdr:rowOff>120135</xdr:rowOff>
    </xdr:from>
    <xdr:to>
      <xdr:col>29</xdr:col>
      <xdr:colOff>51487</xdr:colOff>
      <xdr:row>14</xdr:row>
      <xdr:rowOff>205945</xdr:rowOff>
    </xdr:to>
    <xdr:graphicFrame macro="">
      <xdr:nvGraphicFramePr>
        <xdr:cNvPr id="14" name="Chart 13">
          <a:extLst>
            <a:ext uri="{FF2B5EF4-FFF2-40B4-BE49-F238E27FC236}">
              <a16:creationId xmlns:a16="http://schemas.microsoft.com/office/drawing/2014/main" id="{32A92B73-4E8A-1D68-49DA-28481904B4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26500</xdr:colOff>
      <xdr:row>11</xdr:row>
      <xdr:rowOff>33720</xdr:rowOff>
    </xdr:from>
    <xdr:to>
      <xdr:col>2</xdr:col>
      <xdr:colOff>688038</xdr:colOff>
      <xdr:row>19</xdr:row>
      <xdr:rowOff>5196</xdr:rowOff>
    </xdr:to>
    <mc:AlternateContent xmlns:mc="http://schemas.openxmlformats.org/markup-compatibility/2006">
      <mc:Choice xmlns:a14="http://schemas.microsoft.com/office/drawing/2010/main" Requires="a14">
        <xdr:graphicFrame macro="">
          <xdr:nvGraphicFramePr>
            <xdr:cNvPr id="5" name="Months (Date)">
              <a:extLst>
                <a:ext uri="{FF2B5EF4-FFF2-40B4-BE49-F238E27FC236}">
                  <a16:creationId xmlns:a16="http://schemas.microsoft.com/office/drawing/2014/main" id="{2E0FCAA1-6349-C5F5-01F0-8405F9F30F6C}"/>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633278" y="2312664"/>
              <a:ext cx="1698704" cy="160836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381327</xdr:colOff>
      <xdr:row>11</xdr:row>
      <xdr:rowOff>57713</xdr:rowOff>
    </xdr:from>
    <xdr:to>
      <xdr:col>4</xdr:col>
      <xdr:colOff>1006594</xdr:colOff>
      <xdr:row>19</xdr:row>
      <xdr:rowOff>50710</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206FE830-046E-27C1-9FE8-A3064622C9C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773160" y="2336657"/>
              <a:ext cx="1267323" cy="16298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21165</xdr:colOff>
      <xdr:row>1</xdr:row>
      <xdr:rowOff>162277</xdr:rowOff>
    </xdr:from>
    <xdr:to>
      <xdr:col>17</xdr:col>
      <xdr:colOff>399143</xdr:colOff>
      <xdr:row>34</xdr:row>
      <xdr:rowOff>99786</xdr:rowOff>
    </xdr:to>
    <xdr:sp macro="" textlink="">
      <xdr:nvSpPr>
        <xdr:cNvPr id="2" name="Rectangle: Rounded Corners 1">
          <a:extLst>
            <a:ext uri="{FF2B5EF4-FFF2-40B4-BE49-F238E27FC236}">
              <a16:creationId xmlns:a16="http://schemas.microsoft.com/office/drawing/2014/main" id="{94FCCED2-06D1-C379-3E31-7D18CEE6EFB2}"/>
            </a:ext>
          </a:extLst>
        </xdr:cNvPr>
        <xdr:cNvSpPr/>
      </xdr:nvSpPr>
      <xdr:spPr>
        <a:xfrm>
          <a:off x="628951" y="343706"/>
          <a:ext cx="10102549" cy="5924651"/>
        </a:xfrm>
        <a:prstGeom prst="roundRect">
          <a:avLst>
            <a:gd name="adj" fmla="val 3129"/>
          </a:avLst>
        </a:prstGeom>
        <a:solidFill>
          <a:schemeClr val="bg2"/>
        </a:solidFill>
        <a:ln>
          <a:solidFill>
            <a:srgbClr val="002060"/>
          </a:solidFill>
        </a:ln>
        <a:effectLst>
          <a:outerShdw blurRad="63500" sx="102000" sy="102000" algn="c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a:p>
      </xdr:txBody>
    </xdr:sp>
    <xdr:clientData/>
  </xdr:twoCellAnchor>
  <xdr:twoCellAnchor>
    <xdr:from>
      <xdr:col>1</xdr:col>
      <xdr:colOff>181428</xdr:colOff>
      <xdr:row>4</xdr:row>
      <xdr:rowOff>61752</xdr:rowOff>
    </xdr:from>
    <xdr:to>
      <xdr:col>3</xdr:col>
      <xdr:colOff>462643</xdr:colOff>
      <xdr:row>9</xdr:row>
      <xdr:rowOff>139766</xdr:rowOff>
    </xdr:to>
    <xdr:sp macro="" textlink="">
      <xdr:nvSpPr>
        <xdr:cNvPr id="4" name="Rectangle: Rounded Corners 3">
          <a:extLst>
            <a:ext uri="{FF2B5EF4-FFF2-40B4-BE49-F238E27FC236}">
              <a16:creationId xmlns:a16="http://schemas.microsoft.com/office/drawing/2014/main" id="{427DABDC-DF09-EAB9-D4DF-A7EF90B7212B}"/>
            </a:ext>
          </a:extLst>
        </xdr:cNvPr>
        <xdr:cNvSpPr/>
      </xdr:nvSpPr>
      <xdr:spPr>
        <a:xfrm>
          <a:off x="792909" y="782987"/>
          <a:ext cx="1504178" cy="979557"/>
        </a:xfrm>
        <a:prstGeom prst="roundRect">
          <a:avLst>
            <a:gd name="adj" fmla="val 3955"/>
          </a:avLst>
        </a:prstGeom>
        <a:ln>
          <a:solidFill>
            <a:srgbClr val="00206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GB" sz="1100"/>
        </a:p>
      </xdr:txBody>
    </xdr:sp>
    <xdr:clientData/>
  </xdr:twoCellAnchor>
  <xdr:twoCellAnchor>
    <xdr:from>
      <xdr:col>1</xdr:col>
      <xdr:colOff>179614</xdr:colOff>
      <xdr:row>10</xdr:row>
      <xdr:rowOff>50800</xdr:rowOff>
    </xdr:from>
    <xdr:to>
      <xdr:col>6</xdr:col>
      <xdr:colOff>226786</xdr:colOff>
      <xdr:row>21</xdr:row>
      <xdr:rowOff>145143</xdr:rowOff>
    </xdr:to>
    <xdr:sp macro="" textlink="">
      <xdr:nvSpPr>
        <xdr:cNvPr id="9" name="Rectangle: Rounded Corners 8">
          <a:extLst>
            <a:ext uri="{FF2B5EF4-FFF2-40B4-BE49-F238E27FC236}">
              <a16:creationId xmlns:a16="http://schemas.microsoft.com/office/drawing/2014/main" id="{A6C68E8E-7FD5-226F-3076-9FA6F9D3EB6F}"/>
            </a:ext>
          </a:extLst>
        </xdr:cNvPr>
        <xdr:cNvSpPr/>
      </xdr:nvSpPr>
      <xdr:spPr>
        <a:xfrm>
          <a:off x="789214" y="1913467"/>
          <a:ext cx="3095172" cy="2143276"/>
        </a:xfrm>
        <a:prstGeom prst="roundRect">
          <a:avLst>
            <a:gd name="adj" fmla="val 2474"/>
          </a:avLst>
        </a:prstGeom>
        <a:ln>
          <a:solidFill>
            <a:srgbClr val="00206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GB" sz="1100"/>
        </a:p>
      </xdr:txBody>
    </xdr:sp>
    <xdr:clientData/>
  </xdr:twoCellAnchor>
  <xdr:twoCellAnchor>
    <xdr:from>
      <xdr:col>1</xdr:col>
      <xdr:colOff>18143</xdr:colOff>
      <xdr:row>1</xdr:row>
      <xdr:rowOff>134697</xdr:rowOff>
    </xdr:from>
    <xdr:to>
      <xdr:col>17</xdr:col>
      <xdr:colOff>394470</xdr:colOff>
      <xdr:row>3</xdr:row>
      <xdr:rowOff>163285</xdr:rowOff>
    </xdr:to>
    <xdr:sp macro="" textlink="">
      <xdr:nvSpPr>
        <xdr:cNvPr id="17" name="Rectangle: Rounded Corners 16">
          <a:extLst>
            <a:ext uri="{FF2B5EF4-FFF2-40B4-BE49-F238E27FC236}">
              <a16:creationId xmlns:a16="http://schemas.microsoft.com/office/drawing/2014/main" id="{E432163C-F7E3-99D7-078B-55BBCB710FBD}"/>
            </a:ext>
          </a:extLst>
        </xdr:cNvPr>
        <xdr:cNvSpPr/>
      </xdr:nvSpPr>
      <xdr:spPr>
        <a:xfrm>
          <a:off x="623608" y="311906"/>
          <a:ext cx="10063769" cy="383007"/>
        </a:xfrm>
        <a:prstGeom prst="roundRect">
          <a:avLst>
            <a:gd name="adj" fmla="val 19186"/>
          </a:avLst>
        </a:prstGeom>
        <a:solidFill>
          <a:srgbClr val="002060"/>
        </a:solidFill>
        <a:ln>
          <a:solidFill>
            <a:srgbClr val="00206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r>
            <a:rPr lang="en-GB" sz="1600" b="1">
              <a:solidFill>
                <a:schemeClr val="bg1"/>
              </a:solidFill>
              <a:latin typeface="ADLaM Display" panose="02010000000000000000" pitchFamily="2" charset="0"/>
              <a:ea typeface="ADLaM Display" panose="02010000000000000000" pitchFamily="2" charset="0"/>
              <a:cs typeface="ADLaM Display" panose="02010000000000000000" pitchFamily="2" charset="0"/>
            </a:rPr>
            <a:t>SHOE SALES PERFORMANCE ANALYSIS</a:t>
          </a:r>
        </a:p>
      </xdr:txBody>
    </xdr:sp>
    <xdr:clientData/>
  </xdr:twoCellAnchor>
  <xdr:twoCellAnchor>
    <xdr:from>
      <xdr:col>1</xdr:col>
      <xdr:colOff>244928</xdr:colOff>
      <xdr:row>4</xdr:row>
      <xdr:rowOff>116617</xdr:rowOff>
    </xdr:from>
    <xdr:to>
      <xdr:col>3</xdr:col>
      <xdr:colOff>399143</xdr:colOff>
      <xdr:row>5</xdr:row>
      <xdr:rowOff>166345</xdr:rowOff>
    </xdr:to>
    <xdr:sp macro="" textlink="">
      <xdr:nvSpPr>
        <xdr:cNvPr id="23" name="Rectangle: Rounded Corners 22">
          <a:extLst>
            <a:ext uri="{FF2B5EF4-FFF2-40B4-BE49-F238E27FC236}">
              <a16:creationId xmlns:a16="http://schemas.microsoft.com/office/drawing/2014/main" id="{45EEBDE6-2EA6-4491-835A-95BF20186642}"/>
            </a:ext>
          </a:extLst>
        </xdr:cNvPr>
        <xdr:cNvSpPr/>
      </xdr:nvSpPr>
      <xdr:spPr>
        <a:xfrm>
          <a:off x="851064" y="867072"/>
          <a:ext cx="1366488" cy="237341"/>
        </a:xfrm>
        <a:prstGeom prst="roundRect">
          <a:avLst>
            <a:gd name="adj" fmla="val 3955"/>
          </a:avLst>
        </a:prstGeom>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r>
            <a:rPr lang="en-GB" sz="1400" b="1">
              <a:solidFill>
                <a:srgbClr val="002060"/>
              </a:solidFill>
            </a:rPr>
            <a:t>Revenue</a:t>
          </a:r>
        </a:p>
      </xdr:txBody>
    </xdr:sp>
    <xdr:clientData/>
  </xdr:twoCellAnchor>
  <xdr:twoCellAnchor>
    <xdr:from>
      <xdr:col>1</xdr:col>
      <xdr:colOff>354853</xdr:colOff>
      <xdr:row>6</xdr:row>
      <xdr:rowOff>139701</xdr:rowOff>
    </xdr:from>
    <xdr:to>
      <xdr:col>3</xdr:col>
      <xdr:colOff>226785</xdr:colOff>
      <xdr:row>9</xdr:row>
      <xdr:rowOff>45357</xdr:rowOff>
    </xdr:to>
    <xdr:sp macro="" textlink="Analysis!C4">
      <xdr:nvSpPr>
        <xdr:cNvPr id="24" name="Rectangle: Rounded Corners 23">
          <a:extLst>
            <a:ext uri="{FF2B5EF4-FFF2-40B4-BE49-F238E27FC236}">
              <a16:creationId xmlns:a16="http://schemas.microsoft.com/office/drawing/2014/main" id="{25E5AC54-2955-4E2A-B8EF-93417B383B4F}"/>
            </a:ext>
          </a:extLst>
        </xdr:cNvPr>
        <xdr:cNvSpPr/>
      </xdr:nvSpPr>
      <xdr:spPr>
        <a:xfrm>
          <a:off x="961838" y="1260289"/>
          <a:ext cx="1085903" cy="465950"/>
        </a:xfrm>
        <a:prstGeom prst="roundRect">
          <a:avLst>
            <a:gd name="adj" fmla="val 3955"/>
          </a:avLst>
        </a:prstGeom>
        <a:ln w="3175">
          <a:solidFill>
            <a:srgbClr val="00206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E551A966-F82B-457C-BABB-B004C1AFA2DC}" type="TxLink">
            <a:rPr lang="en-US" sz="1600" b="1" i="0" u="none" strike="noStrike">
              <a:solidFill>
                <a:srgbClr val="002060"/>
              </a:solidFill>
              <a:latin typeface="Amasis MT Pro"/>
            </a:rPr>
            <a:pPr algn="ctr"/>
            <a:t>$355,048</a:t>
          </a:fld>
          <a:endParaRPr lang="en-GB" sz="1800" b="1">
            <a:solidFill>
              <a:srgbClr val="002060"/>
            </a:solidFill>
          </a:endParaRPr>
        </a:p>
      </xdr:txBody>
    </xdr:sp>
    <xdr:clientData/>
  </xdr:twoCellAnchor>
  <xdr:twoCellAnchor>
    <xdr:from>
      <xdr:col>6</xdr:col>
      <xdr:colOff>312096</xdr:colOff>
      <xdr:row>4</xdr:row>
      <xdr:rowOff>61752</xdr:rowOff>
    </xdr:from>
    <xdr:to>
      <xdr:col>9</xdr:col>
      <xdr:colOff>115454</xdr:colOff>
      <xdr:row>9</xdr:row>
      <xdr:rowOff>139766</xdr:rowOff>
    </xdr:to>
    <xdr:sp macro="" textlink="">
      <xdr:nvSpPr>
        <xdr:cNvPr id="33" name="Rectangle: Rounded Corners 32">
          <a:extLst>
            <a:ext uri="{FF2B5EF4-FFF2-40B4-BE49-F238E27FC236}">
              <a16:creationId xmlns:a16="http://schemas.microsoft.com/office/drawing/2014/main" id="{12D86685-7663-09F0-E919-AFD530464976}"/>
            </a:ext>
          </a:extLst>
        </xdr:cNvPr>
        <xdr:cNvSpPr/>
      </xdr:nvSpPr>
      <xdr:spPr>
        <a:xfrm>
          <a:off x="3980985" y="782987"/>
          <a:ext cx="1637802" cy="979557"/>
        </a:xfrm>
        <a:prstGeom prst="roundRect">
          <a:avLst>
            <a:gd name="adj" fmla="val 3955"/>
          </a:avLst>
        </a:prstGeom>
        <a:ln>
          <a:solidFill>
            <a:srgbClr val="00206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GB" sz="1100"/>
        </a:p>
      </xdr:txBody>
    </xdr:sp>
    <xdr:clientData/>
  </xdr:twoCellAnchor>
  <xdr:twoCellAnchor>
    <xdr:from>
      <xdr:col>3</xdr:col>
      <xdr:colOff>544791</xdr:colOff>
      <xdr:row>4</xdr:row>
      <xdr:rowOff>81910</xdr:rowOff>
    </xdr:from>
    <xdr:to>
      <xdr:col>6</xdr:col>
      <xdr:colOff>219870</xdr:colOff>
      <xdr:row>9</xdr:row>
      <xdr:rowOff>158803</xdr:rowOff>
    </xdr:to>
    <xdr:sp macro="" textlink="">
      <xdr:nvSpPr>
        <xdr:cNvPr id="32" name="Rectangle: Rounded Corners 31">
          <a:extLst>
            <a:ext uri="{FF2B5EF4-FFF2-40B4-BE49-F238E27FC236}">
              <a16:creationId xmlns:a16="http://schemas.microsoft.com/office/drawing/2014/main" id="{BB0A5D33-52B4-4745-BD1A-4B0E9C087A60}"/>
            </a:ext>
          </a:extLst>
        </xdr:cNvPr>
        <xdr:cNvSpPr/>
      </xdr:nvSpPr>
      <xdr:spPr>
        <a:xfrm>
          <a:off x="2379235" y="803145"/>
          <a:ext cx="1509524" cy="978436"/>
        </a:xfrm>
        <a:prstGeom prst="roundRect">
          <a:avLst>
            <a:gd name="adj" fmla="val 3955"/>
          </a:avLst>
        </a:prstGeom>
        <a:ln>
          <a:solidFill>
            <a:srgbClr val="00206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GB" sz="1100"/>
        </a:p>
      </xdr:txBody>
    </xdr:sp>
    <xdr:clientData/>
  </xdr:twoCellAnchor>
  <xdr:twoCellAnchor>
    <xdr:from>
      <xdr:col>3</xdr:col>
      <xdr:colOff>583138</xdr:colOff>
      <xdr:row>4</xdr:row>
      <xdr:rowOff>147225</xdr:rowOff>
    </xdr:from>
    <xdr:to>
      <xdr:col>6</xdr:col>
      <xdr:colOff>132591</xdr:colOff>
      <xdr:row>6</xdr:row>
      <xdr:rowOff>15525</xdr:rowOff>
    </xdr:to>
    <xdr:sp macro="" textlink="">
      <xdr:nvSpPr>
        <xdr:cNvPr id="41" name="Rectangle: Rounded Corners 40">
          <a:extLst>
            <a:ext uri="{FF2B5EF4-FFF2-40B4-BE49-F238E27FC236}">
              <a16:creationId xmlns:a16="http://schemas.microsoft.com/office/drawing/2014/main" id="{0FE13B12-9E7F-4AB2-A539-AA6D702D952D}"/>
            </a:ext>
          </a:extLst>
        </xdr:cNvPr>
        <xdr:cNvSpPr/>
      </xdr:nvSpPr>
      <xdr:spPr>
        <a:xfrm>
          <a:off x="2401547" y="878437"/>
          <a:ext cx="1367862" cy="233906"/>
        </a:xfrm>
        <a:prstGeom prst="roundRect">
          <a:avLst>
            <a:gd name="adj" fmla="val 3955"/>
          </a:avLst>
        </a:prstGeom>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r>
            <a:rPr lang="en-GB" sz="1400" b="1">
              <a:solidFill>
                <a:srgbClr val="002060"/>
              </a:solidFill>
            </a:rPr>
            <a:t>Profit</a:t>
          </a:r>
        </a:p>
      </xdr:txBody>
    </xdr:sp>
    <xdr:clientData/>
  </xdr:twoCellAnchor>
  <xdr:twoCellAnchor>
    <xdr:from>
      <xdr:col>6</xdr:col>
      <xdr:colOff>391783</xdr:colOff>
      <xdr:row>4</xdr:row>
      <xdr:rowOff>123208</xdr:rowOff>
    </xdr:from>
    <xdr:to>
      <xdr:col>8</xdr:col>
      <xdr:colOff>544624</xdr:colOff>
      <xdr:row>6</xdr:row>
      <xdr:rowOff>34944</xdr:rowOff>
    </xdr:to>
    <xdr:sp macro="" textlink="">
      <xdr:nvSpPr>
        <xdr:cNvPr id="42" name="Rectangle: Rounded Corners 41">
          <a:extLst>
            <a:ext uri="{FF2B5EF4-FFF2-40B4-BE49-F238E27FC236}">
              <a16:creationId xmlns:a16="http://schemas.microsoft.com/office/drawing/2014/main" id="{30E7877B-498D-4A96-A578-99AE6CB8528A}"/>
            </a:ext>
          </a:extLst>
        </xdr:cNvPr>
        <xdr:cNvSpPr/>
      </xdr:nvSpPr>
      <xdr:spPr>
        <a:xfrm>
          <a:off x="4031186" y="843507"/>
          <a:ext cx="1365975" cy="271885"/>
        </a:xfrm>
        <a:prstGeom prst="roundRect">
          <a:avLst>
            <a:gd name="adj" fmla="val 3955"/>
          </a:avLst>
        </a:prstGeom>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r>
            <a:rPr lang="en-GB" sz="1400" b="1">
              <a:solidFill>
                <a:srgbClr val="002060"/>
              </a:solidFill>
            </a:rPr>
            <a:t>Qty Sold</a:t>
          </a:r>
        </a:p>
      </xdr:txBody>
    </xdr:sp>
    <xdr:clientData/>
  </xdr:twoCellAnchor>
  <xdr:twoCellAnchor>
    <xdr:from>
      <xdr:col>9</xdr:col>
      <xdr:colOff>221288</xdr:colOff>
      <xdr:row>4</xdr:row>
      <xdr:rowOff>52131</xdr:rowOff>
    </xdr:from>
    <xdr:to>
      <xdr:col>11</xdr:col>
      <xdr:colOff>532884</xdr:colOff>
      <xdr:row>9</xdr:row>
      <xdr:rowOff>130145</xdr:rowOff>
    </xdr:to>
    <xdr:sp macro="" textlink="">
      <xdr:nvSpPr>
        <xdr:cNvPr id="43" name="Rectangle: Rounded Corners 42">
          <a:extLst>
            <a:ext uri="{FF2B5EF4-FFF2-40B4-BE49-F238E27FC236}">
              <a16:creationId xmlns:a16="http://schemas.microsoft.com/office/drawing/2014/main" id="{5F004338-295A-12A2-416F-80931BA78009}"/>
            </a:ext>
          </a:extLst>
        </xdr:cNvPr>
        <xdr:cNvSpPr/>
      </xdr:nvSpPr>
      <xdr:spPr>
        <a:xfrm>
          <a:off x="5724621" y="773366"/>
          <a:ext cx="1534559" cy="979557"/>
        </a:xfrm>
        <a:prstGeom prst="roundRect">
          <a:avLst>
            <a:gd name="adj" fmla="val 3955"/>
          </a:avLst>
        </a:prstGeom>
        <a:ln>
          <a:solidFill>
            <a:srgbClr val="00206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GB" sz="1100"/>
        </a:p>
      </xdr:txBody>
    </xdr:sp>
    <xdr:clientData/>
  </xdr:twoCellAnchor>
  <xdr:twoCellAnchor>
    <xdr:from>
      <xdr:col>12</xdr:col>
      <xdr:colOff>18059</xdr:colOff>
      <xdr:row>4</xdr:row>
      <xdr:rowOff>61752</xdr:rowOff>
    </xdr:from>
    <xdr:to>
      <xdr:col>14</xdr:col>
      <xdr:colOff>299274</xdr:colOff>
      <xdr:row>9</xdr:row>
      <xdr:rowOff>139766</xdr:rowOff>
    </xdr:to>
    <xdr:sp macro="" textlink="">
      <xdr:nvSpPr>
        <xdr:cNvPr id="44" name="Rectangle: Rounded Corners 43">
          <a:extLst>
            <a:ext uri="{FF2B5EF4-FFF2-40B4-BE49-F238E27FC236}">
              <a16:creationId xmlns:a16="http://schemas.microsoft.com/office/drawing/2014/main" id="{8D00199B-AC7D-1CC2-D99E-0175AC4873E4}"/>
            </a:ext>
          </a:extLst>
        </xdr:cNvPr>
        <xdr:cNvSpPr/>
      </xdr:nvSpPr>
      <xdr:spPr>
        <a:xfrm>
          <a:off x="7355837" y="782987"/>
          <a:ext cx="1504178" cy="979557"/>
        </a:xfrm>
        <a:prstGeom prst="roundRect">
          <a:avLst>
            <a:gd name="adj" fmla="val 3955"/>
          </a:avLst>
        </a:prstGeom>
        <a:ln>
          <a:solidFill>
            <a:srgbClr val="00206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GB" sz="1100"/>
        </a:p>
      </xdr:txBody>
    </xdr:sp>
    <xdr:clientData/>
  </xdr:twoCellAnchor>
  <xdr:twoCellAnchor>
    <xdr:from>
      <xdr:col>9</xdr:col>
      <xdr:colOff>276852</xdr:colOff>
      <xdr:row>4</xdr:row>
      <xdr:rowOff>167753</xdr:rowOff>
    </xdr:from>
    <xdr:to>
      <xdr:col>11</xdr:col>
      <xdr:colOff>431067</xdr:colOff>
      <xdr:row>6</xdr:row>
      <xdr:rowOff>36053</xdr:rowOff>
    </xdr:to>
    <xdr:sp macro="" textlink="">
      <xdr:nvSpPr>
        <xdr:cNvPr id="45" name="Rectangle: Rounded Corners 44">
          <a:extLst>
            <a:ext uri="{FF2B5EF4-FFF2-40B4-BE49-F238E27FC236}">
              <a16:creationId xmlns:a16="http://schemas.microsoft.com/office/drawing/2014/main" id="{424B3C64-0B59-463B-9DBC-2AD34A81C12F}"/>
            </a:ext>
          </a:extLst>
        </xdr:cNvPr>
        <xdr:cNvSpPr/>
      </xdr:nvSpPr>
      <xdr:spPr>
        <a:xfrm>
          <a:off x="5732079" y="898965"/>
          <a:ext cx="1366488" cy="233906"/>
        </a:xfrm>
        <a:prstGeom prst="roundRect">
          <a:avLst>
            <a:gd name="adj" fmla="val 3955"/>
          </a:avLst>
        </a:prstGeom>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r>
            <a:rPr lang="en-GB" sz="1400" b="1">
              <a:solidFill>
                <a:srgbClr val="002060"/>
              </a:solidFill>
            </a:rPr>
            <a:t>Transactions</a:t>
          </a:r>
        </a:p>
      </xdr:txBody>
    </xdr:sp>
    <xdr:clientData/>
  </xdr:twoCellAnchor>
  <xdr:twoCellAnchor>
    <xdr:from>
      <xdr:col>12</xdr:col>
      <xdr:colOff>97434</xdr:colOff>
      <xdr:row>4</xdr:row>
      <xdr:rowOff>151749</xdr:rowOff>
    </xdr:from>
    <xdr:to>
      <xdr:col>14</xdr:col>
      <xdr:colOff>251649</xdr:colOff>
      <xdr:row>6</xdr:row>
      <xdr:rowOff>14713</xdr:rowOff>
    </xdr:to>
    <xdr:sp macro="" textlink="">
      <xdr:nvSpPr>
        <xdr:cNvPr id="46" name="Rectangle: Rounded Corners 45">
          <a:extLst>
            <a:ext uri="{FF2B5EF4-FFF2-40B4-BE49-F238E27FC236}">
              <a16:creationId xmlns:a16="http://schemas.microsoft.com/office/drawing/2014/main" id="{77B403F7-41B4-46E9-A78E-95DD505EE145}"/>
            </a:ext>
          </a:extLst>
        </xdr:cNvPr>
        <xdr:cNvSpPr/>
      </xdr:nvSpPr>
      <xdr:spPr>
        <a:xfrm>
          <a:off x="7381258" y="898808"/>
          <a:ext cx="1368185" cy="236493"/>
        </a:xfrm>
        <a:prstGeom prst="roundRect">
          <a:avLst>
            <a:gd name="adj" fmla="val 3955"/>
          </a:avLst>
        </a:prstGeom>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r>
            <a:rPr lang="en-GB" sz="1400" b="1">
              <a:solidFill>
                <a:srgbClr val="002060"/>
              </a:solidFill>
            </a:rPr>
            <a:t>Overall Margin</a:t>
          </a:r>
        </a:p>
      </xdr:txBody>
    </xdr:sp>
    <xdr:clientData/>
  </xdr:twoCellAnchor>
  <xdr:twoCellAnchor>
    <xdr:from>
      <xdr:col>4</xdr:col>
      <xdr:colOff>108649</xdr:colOff>
      <xdr:row>6</xdr:row>
      <xdr:rowOff>114461</xdr:rowOff>
    </xdr:from>
    <xdr:to>
      <xdr:col>6</xdr:col>
      <xdr:colOff>19769</xdr:colOff>
      <xdr:row>9</xdr:row>
      <xdr:rowOff>20117</xdr:rowOff>
    </xdr:to>
    <xdr:sp macro="" textlink="Analysis!D4">
      <xdr:nvSpPr>
        <xdr:cNvPr id="47" name="Rectangle: Rounded Corners 46">
          <a:extLst>
            <a:ext uri="{FF2B5EF4-FFF2-40B4-BE49-F238E27FC236}">
              <a16:creationId xmlns:a16="http://schemas.microsoft.com/office/drawing/2014/main" id="{B63FFB9F-7CA8-4729-A276-9218802E752D}"/>
            </a:ext>
          </a:extLst>
        </xdr:cNvPr>
        <xdr:cNvSpPr/>
      </xdr:nvSpPr>
      <xdr:spPr>
        <a:xfrm>
          <a:off x="2527697" y="1203032"/>
          <a:ext cx="1120643" cy="449942"/>
        </a:xfrm>
        <a:prstGeom prst="roundRect">
          <a:avLst>
            <a:gd name="adj" fmla="val 3955"/>
          </a:avLst>
        </a:prstGeom>
        <a:ln w="3175">
          <a:solidFill>
            <a:srgbClr val="00206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marL="0" indent="0" algn="ctr"/>
          <a:fld id="{8DE6BBC5-6443-484C-A63A-164503160C39}" type="TxLink">
            <a:rPr lang="en-US" sz="1600" b="1" i="0" u="none" strike="noStrike">
              <a:solidFill>
                <a:srgbClr val="002060"/>
              </a:solidFill>
              <a:latin typeface="Amasis MT Pro"/>
              <a:ea typeface="+mn-ea"/>
              <a:cs typeface="+mn-cs"/>
            </a:rPr>
            <a:pPr marL="0" indent="0" algn="ctr"/>
            <a:t>$162,335</a:t>
          </a:fld>
          <a:endParaRPr lang="en-GB" sz="1600" b="1" i="0" u="none" strike="noStrike">
            <a:solidFill>
              <a:srgbClr val="002060"/>
            </a:solidFill>
            <a:latin typeface="Amasis MT Pro"/>
            <a:ea typeface="+mn-ea"/>
            <a:cs typeface="+mn-cs"/>
          </a:endParaRPr>
        </a:p>
      </xdr:txBody>
    </xdr:sp>
    <xdr:clientData/>
  </xdr:twoCellAnchor>
  <xdr:twoCellAnchor>
    <xdr:from>
      <xdr:col>6</xdr:col>
      <xdr:colOff>519500</xdr:colOff>
      <xdr:row>6</xdr:row>
      <xdr:rowOff>105863</xdr:rowOff>
    </xdr:from>
    <xdr:to>
      <xdr:col>8</xdr:col>
      <xdr:colOff>395369</xdr:colOff>
      <xdr:row>9</xdr:row>
      <xdr:rowOff>11519</xdr:rowOff>
    </xdr:to>
    <xdr:sp macro="" textlink="Analysis!E4">
      <xdr:nvSpPr>
        <xdr:cNvPr id="48" name="Rectangle: Rounded Corners 47">
          <a:extLst>
            <a:ext uri="{FF2B5EF4-FFF2-40B4-BE49-F238E27FC236}">
              <a16:creationId xmlns:a16="http://schemas.microsoft.com/office/drawing/2014/main" id="{8B65C4C1-62E5-4409-811E-45FAF02ABE49}"/>
            </a:ext>
          </a:extLst>
        </xdr:cNvPr>
        <xdr:cNvSpPr/>
      </xdr:nvSpPr>
      <xdr:spPr>
        <a:xfrm>
          <a:off x="4148071" y="1194434"/>
          <a:ext cx="1085393" cy="449942"/>
        </a:xfrm>
        <a:prstGeom prst="roundRect">
          <a:avLst>
            <a:gd name="adj" fmla="val 3955"/>
          </a:avLst>
        </a:prstGeom>
        <a:ln w="3175">
          <a:solidFill>
            <a:srgbClr val="00206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marL="0" indent="0" algn="ctr"/>
          <a:fld id="{2A8078DE-5A12-472C-BCA6-0AF53A7C0D9B}" type="TxLink">
            <a:rPr lang="en-US" sz="1600" b="1" i="0" u="none" strike="noStrike">
              <a:solidFill>
                <a:srgbClr val="002060"/>
              </a:solidFill>
              <a:latin typeface="Amasis MT Pro"/>
              <a:ea typeface="+mn-ea"/>
              <a:cs typeface="+mn-cs"/>
            </a:rPr>
            <a:pPr marL="0" indent="0" algn="ctr"/>
            <a:t> 4,012 </a:t>
          </a:fld>
          <a:endParaRPr lang="en-GB" sz="1600" b="1" i="0" u="none" strike="noStrike">
            <a:solidFill>
              <a:srgbClr val="002060"/>
            </a:solidFill>
            <a:latin typeface="Amasis MT Pro"/>
            <a:ea typeface="+mn-ea"/>
            <a:cs typeface="+mn-cs"/>
          </a:endParaRPr>
        </a:p>
      </xdr:txBody>
    </xdr:sp>
    <xdr:clientData/>
  </xdr:twoCellAnchor>
  <xdr:twoCellAnchor>
    <xdr:from>
      <xdr:col>9</xdr:col>
      <xdr:colOff>399103</xdr:colOff>
      <xdr:row>6</xdr:row>
      <xdr:rowOff>90958</xdr:rowOff>
    </xdr:from>
    <xdr:to>
      <xdr:col>11</xdr:col>
      <xdr:colOff>305088</xdr:colOff>
      <xdr:row>9</xdr:row>
      <xdr:rowOff>1950</xdr:rowOff>
    </xdr:to>
    <xdr:sp macro="" textlink="Analysis!B4">
      <xdr:nvSpPr>
        <xdr:cNvPr id="49" name="Rectangle: Rounded Corners 48">
          <a:extLst>
            <a:ext uri="{FF2B5EF4-FFF2-40B4-BE49-F238E27FC236}">
              <a16:creationId xmlns:a16="http://schemas.microsoft.com/office/drawing/2014/main" id="{0ED1DE68-17BD-4AF4-91B4-EAE4FFD8D885}"/>
            </a:ext>
          </a:extLst>
        </xdr:cNvPr>
        <xdr:cNvSpPr/>
      </xdr:nvSpPr>
      <xdr:spPr>
        <a:xfrm>
          <a:off x="5854330" y="1187776"/>
          <a:ext cx="1118258" cy="459401"/>
        </a:xfrm>
        <a:prstGeom prst="roundRect">
          <a:avLst>
            <a:gd name="adj" fmla="val 3955"/>
          </a:avLst>
        </a:prstGeom>
        <a:ln w="3175">
          <a:solidFill>
            <a:srgbClr val="00206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marL="0" indent="0" algn="ctr"/>
          <a:fld id="{FF0DAB4B-8B07-4CA6-90F7-BC11F4ABFA1E}" type="TxLink">
            <a:rPr lang="en-US" sz="1600" b="1" i="0" u="none" strike="noStrike">
              <a:solidFill>
                <a:srgbClr val="002060"/>
              </a:solidFill>
              <a:latin typeface="Amasis MT Pro"/>
              <a:ea typeface="+mn-ea"/>
              <a:cs typeface="+mn-cs"/>
            </a:rPr>
            <a:pPr marL="0" indent="0" algn="ctr"/>
            <a:t>500</a:t>
          </a:fld>
          <a:endParaRPr lang="en-GB" sz="1600" b="1" i="0" u="none" strike="noStrike">
            <a:solidFill>
              <a:srgbClr val="002060"/>
            </a:solidFill>
            <a:latin typeface="Amasis MT Pro"/>
            <a:ea typeface="+mn-ea"/>
            <a:cs typeface="+mn-cs"/>
          </a:endParaRPr>
        </a:p>
      </xdr:txBody>
    </xdr:sp>
    <xdr:clientData/>
  </xdr:twoCellAnchor>
  <xdr:twoCellAnchor>
    <xdr:from>
      <xdr:col>12</xdr:col>
      <xdr:colOff>175959</xdr:colOff>
      <xdr:row>6</xdr:row>
      <xdr:rowOff>107345</xdr:rowOff>
    </xdr:from>
    <xdr:to>
      <xdr:col>14</xdr:col>
      <xdr:colOff>102721</xdr:colOff>
      <xdr:row>9</xdr:row>
      <xdr:rowOff>13001</xdr:rowOff>
    </xdr:to>
    <xdr:sp macro="" textlink="Analysis!F4">
      <xdr:nvSpPr>
        <xdr:cNvPr id="50" name="Rectangle: Rounded Corners 49">
          <a:extLst>
            <a:ext uri="{FF2B5EF4-FFF2-40B4-BE49-F238E27FC236}">
              <a16:creationId xmlns:a16="http://schemas.microsoft.com/office/drawing/2014/main" id="{B4154CE9-ED9E-4B1B-99FD-75F49F339B5E}"/>
            </a:ext>
          </a:extLst>
        </xdr:cNvPr>
        <xdr:cNvSpPr/>
      </xdr:nvSpPr>
      <xdr:spPr>
        <a:xfrm>
          <a:off x="7459783" y="1227933"/>
          <a:ext cx="1140732" cy="465950"/>
        </a:xfrm>
        <a:prstGeom prst="roundRect">
          <a:avLst>
            <a:gd name="adj" fmla="val 3955"/>
          </a:avLst>
        </a:prstGeom>
        <a:ln w="3175">
          <a:solidFill>
            <a:srgbClr val="00206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marL="0" indent="0" algn="ctr"/>
          <a:fld id="{197D7F49-97A8-4FC4-9087-A4FF88F41CC8}" type="TxLink">
            <a:rPr lang="en-US" sz="1600" b="1" i="0" u="none" strike="noStrike">
              <a:solidFill>
                <a:srgbClr val="002060"/>
              </a:solidFill>
              <a:latin typeface="Amasis MT Pro"/>
              <a:ea typeface="+mn-ea"/>
              <a:cs typeface="+mn-cs"/>
            </a:rPr>
            <a:pPr marL="0" indent="0" algn="ctr"/>
            <a:t>45.7%</a:t>
          </a:fld>
          <a:endParaRPr lang="en-GB" sz="1600" b="1" i="0" u="none" strike="noStrike">
            <a:solidFill>
              <a:srgbClr val="002060"/>
            </a:solidFill>
            <a:latin typeface="Amasis MT Pro"/>
            <a:ea typeface="+mn-ea"/>
            <a:cs typeface="+mn-cs"/>
          </a:endParaRPr>
        </a:p>
      </xdr:txBody>
    </xdr:sp>
    <xdr:clientData/>
  </xdr:twoCellAnchor>
  <xdr:twoCellAnchor>
    <xdr:from>
      <xdr:col>1</xdr:col>
      <xdr:colOff>186871</xdr:colOff>
      <xdr:row>22</xdr:row>
      <xdr:rowOff>43542</xdr:rowOff>
    </xdr:from>
    <xdr:to>
      <xdr:col>6</xdr:col>
      <xdr:colOff>234043</xdr:colOff>
      <xdr:row>33</xdr:row>
      <xdr:rowOff>107043</xdr:rowOff>
    </xdr:to>
    <xdr:sp macro="" textlink="">
      <xdr:nvSpPr>
        <xdr:cNvPr id="53" name="Rectangle: Rounded Corners 52">
          <a:extLst>
            <a:ext uri="{FF2B5EF4-FFF2-40B4-BE49-F238E27FC236}">
              <a16:creationId xmlns:a16="http://schemas.microsoft.com/office/drawing/2014/main" id="{6EEB3EC4-4126-0C9D-C5FD-810239A3EC54}"/>
            </a:ext>
          </a:extLst>
        </xdr:cNvPr>
        <xdr:cNvSpPr/>
      </xdr:nvSpPr>
      <xdr:spPr>
        <a:xfrm>
          <a:off x="794657" y="4034971"/>
          <a:ext cx="3086100" cy="2059215"/>
        </a:xfrm>
        <a:prstGeom prst="roundRect">
          <a:avLst>
            <a:gd name="adj" fmla="val 2474"/>
          </a:avLst>
        </a:prstGeom>
        <a:ln>
          <a:solidFill>
            <a:srgbClr val="00206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GB" sz="1100"/>
        </a:p>
      </xdr:txBody>
    </xdr:sp>
    <xdr:clientData/>
  </xdr:twoCellAnchor>
  <xdr:twoCellAnchor>
    <xdr:from>
      <xdr:col>6</xdr:col>
      <xdr:colOff>351971</xdr:colOff>
      <xdr:row>22</xdr:row>
      <xdr:rowOff>52613</xdr:rowOff>
    </xdr:from>
    <xdr:to>
      <xdr:col>11</xdr:col>
      <xdr:colOff>546099</xdr:colOff>
      <xdr:row>33</xdr:row>
      <xdr:rowOff>116114</xdr:rowOff>
    </xdr:to>
    <xdr:sp macro="" textlink="">
      <xdr:nvSpPr>
        <xdr:cNvPr id="54" name="Rectangle: Rounded Corners 53">
          <a:extLst>
            <a:ext uri="{FF2B5EF4-FFF2-40B4-BE49-F238E27FC236}">
              <a16:creationId xmlns:a16="http://schemas.microsoft.com/office/drawing/2014/main" id="{69D92EA5-9184-9062-F9A2-248BB8F7E1AC}"/>
            </a:ext>
          </a:extLst>
        </xdr:cNvPr>
        <xdr:cNvSpPr/>
      </xdr:nvSpPr>
      <xdr:spPr>
        <a:xfrm>
          <a:off x="3998685" y="4044042"/>
          <a:ext cx="3233057" cy="2059215"/>
        </a:xfrm>
        <a:prstGeom prst="roundRect">
          <a:avLst>
            <a:gd name="adj" fmla="val 2474"/>
          </a:avLst>
        </a:prstGeom>
        <a:ln>
          <a:solidFill>
            <a:srgbClr val="00206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GB" sz="1100"/>
        </a:p>
      </xdr:txBody>
    </xdr:sp>
    <xdr:clientData/>
  </xdr:twoCellAnchor>
  <xdr:twoCellAnchor>
    <xdr:from>
      <xdr:col>6</xdr:col>
      <xdr:colOff>332922</xdr:colOff>
      <xdr:row>10</xdr:row>
      <xdr:rowOff>59870</xdr:rowOff>
    </xdr:from>
    <xdr:to>
      <xdr:col>11</xdr:col>
      <xdr:colOff>528865</xdr:colOff>
      <xdr:row>21</xdr:row>
      <xdr:rowOff>123371</xdr:rowOff>
    </xdr:to>
    <xdr:sp macro="" textlink="">
      <xdr:nvSpPr>
        <xdr:cNvPr id="55" name="Rectangle: Rounded Corners 54">
          <a:extLst>
            <a:ext uri="{FF2B5EF4-FFF2-40B4-BE49-F238E27FC236}">
              <a16:creationId xmlns:a16="http://schemas.microsoft.com/office/drawing/2014/main" id="{72252504-EA43-5AF2-B7B2-11812048A43F}"/>
            </a:ext>
          </a:extLst>
        </xdr:cNvPr>
        <xdr:cNvSpPr/>
      </xdr:nvSpPr>
      <xdr:spPr>
        <a:xfrm>
          <a:off x="3979636" y="1874156"/>
          <a:ext cx="3234872" cy="2059215"/>
        </a:xfrm>
        <a:prstGeom prst="roundRect">
          <a:avLst>
            <a:gd name="adj" fmla="val 2474"/>
          </a:avLst>
        </a:prstGeom>
        <a:ln>
          <a:solidFill>
            <a:srgbClr val="00206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GB" sz="1100"/>
        </a:p>
      </xdr:txBody>
    </xdr:sp>
    <xdr:clientData/>
  </xdr:twoCellAnchor>
  <xdr:twoCellAnchor>
    <xdr:from>
      <xdr:col>12</xdr:col>
      <xdr:colOff>56241</xdr:colOff>
      <xdr:row>22</xdr:row>
      <xdr:rowOff>58055</xdr:rowOff>
    </xdr:from>
    <xdr:to>
      <xdr:col>17</xdr:col>
      <xdr:colOff>244928</xdr:colOff>
      <xdr:row>33</xdr:row>
      <xdr:rowOff>121556</xdr:rowOff>
    </xdr:to>
    <xdr:sp macro="" textlink="">
      <xdr:nvSpPr>
        <xdr:cNvPr id="56" name="Rectangle: Rounded Corners 55">
          <a:extLst>
            <a:ext uri="{FF2B5EF4-FFF2-40B4-BE49-F238E27FC236}">
              <a16:creationId xmlns:a16="http://schemas.microsoft.com/office/drawing/2014/main" id="{DF83A9AE-2674-F8A6-1B88-39177BC94B92}"/>
            </a:ext>
          </a:extLst>
        </xdr:cNvPr>
        <xdr:cNvSpPr/>
      </xdr:nvSpPr>
      <xdr:spPr>
        <a:xfrm>
          <a:off x="7349670" y="4049484"/>
          <a:ext cx="3227615" cy="2059215"/>
        </a:xfrm>
        <a:prstGeom prst="roundRect">
          <a:avLst>
            <a:gd name="adj" fmla="val 2474"/>
          </a:avLst>
        </a:prstGeom>
        <a:ln>
          <a:solidFill>
            <a:srgbClr val="00206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GB" sz="1100"/>
        </a:p>
      </xdr:txBody>
    </xdr:sp>
    <xdr:clientData/>
  </xdr:twoCellAnchor>
  <xdr:twoCellAnchor>
    <xdr:from>
      <xdr:col>12</xdr:col>
      <xdr:colOff>27214</xdr:colOff>
      <xdr:row>10</xdr:row>
      <xdr:rowOff>47170</xdr:rowOff>
    </xdr:from>
    <xdr:to>
      <xdr:col>17</xdr:col>
      <xdr:colOff>254000</xdr:colOff>
      <xdr:row>21</xdr:row>
      <xdr:rowOff>110671</xdr:rowOff>
    </xdr:to>
    <xdr:sp macro="" textlink="">
      <xdr:nvSpPr>
        <xdr:cNvPr id="57" name="Rectangle: Rounded Corners 56">
          <a:extLst>
            <a:ext uri="{FF2B5EF4-FFF2-40B4-BE49-F238E27FC236}">
              <a16:creationId xmlns:a16="http://schemas.microsoft.com/office/drawing/2014/main" id="{A1C2E942-A5B2-3FFF-DFC0-45468B2BE62E}"/>
            </a:ext>
          </a:extLst>
        </xdr:cNvPr>
        <xdr:cNvSpPr/>
      </xdr:nvSpPr>
      <xdr:spPr>
        <a:xfrm>
          <a:off x="7320643" y="1861456"/>
          <a:ext cx="3265714" cy="2059215"/>
        </a:xfrm>
        <a:prstGeom prst="roundRect">
          <a:avLst>
            <a:gd name="adj" fmla="val 2474"/>
          </a:avLst>
        </a:prstGeom>
        <a:ln>
          <a:solidFill>
            <a:srgbClr val="00206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GB" sz="1100"/>
        </a:p>
      </xdr:txBody>
    </xdr:sp>
    <xdr:clientData/>
  </xdr:twoCellAnchor>
  <xdr:twoCellAnchor>
    <xdr:from>
      <xdr:col>6</xdr:col>
      <xdr:colOff>353786</xdr:colOff>
      <xdr:row>10</xdr:row>
      <xdr:rowOff>87031</xdr:rowOff>
    </xdr:from>
    <xdr:to>
      <xdr:col>11</xdr:col>
      <xdr:colOff>509924</xdr:colOff>
      <xdr:row>21</xdr:row>
      <xdr:rowOff>103147</xdr:rowOff>
    </xdr:to>
    <xdr:graphicFrame macro="">
      <xdr:nvGraphicFramePr>
        <xdr:cNvPr id="58" name="Chart 57">
          <a:extLst>
            <a:ext uri="{FF2B5EF4-FFF2-40B4-BE49-F238E27FC236}">
              <a16:creationId xmlns:a16="http://schemas.microsoft.com/office/drawing/2014/main" id="{89BC262B-621D-4A63-BEB6-074A4EFD3C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187686</xdr:colOff>
      <xdr:row>10</xdr:row>
      <xdr:rowOff>68818</xdr:rowOff>
    </xdr:from>
    <xdr:to>
      <xdr:col>6</xdr:col>
      <xdr:colOff>189387</xdr:colOff>
      <xdr:row>21</xdr:row>
      <xdr:rowOff>125123</xdr:rowOff>
    </xdr:to>
    <xdr:graphicFrame macro="">
      <xdr:nvGraphicFramePr>
        <xdr:cNvPr id="59" name="Chart 58">
          <a:extLst>
            <a:ext uri="{FF2B5EF4-FFF2-40B4-BE49-F238E27FC236}">
              <a16:creationId xmlns:a16="http://schemas.microsoft.com/office/drawing/2014/main" id="{A4F12FB6-8EE0-4AF4-B7E7-C24F2530F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43678</xdr:colOff>
      <xdr:row>10</xdr:row>
      <xdr:rowOff>57116</xdr:rowOff>
    </xdr:from>
    <xdr:to>
      <xdr:col>17</xdr:col>
      <xdr:colOff>245264</xdr:colOff>
      <xdr:row>21</xdr:row>
      <xdr:rowOff>94074</xdr:rowOff>
    </xdr:to>
    <xdr:graphicFrame macro="">
      <xdr:nvGraphicFramePr>
        <xdr:cNvPr id="60" name="Chart 59">
          <a:extLst>
            <a:ext uri="{FF2B5EF4-FFF2-40B4-BE49-F238E27FC236}">
              <a16:creationId xmlns:a16="http://schemas.microsoft.com/office/drawing/2014/main" id="{F1F37312-C090-4088-887B-1507D9F137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204543</xdr:colOff>
      <xdr:row>22</xdr:row>
      <xdr:rowOff>59906</xdr:rowOff>
    </xdr:from>
    <xdr:to>
      <xdr:col>6</xdr:col>
      <xdr:colOff>210649</xdr:colOff>
      <xdr:row>33</xdr:row>
      <xdr:rowOff>85480</xdr:rowOff>
    </xdr:to>
    <xdr:graphicFrame macro="">
      <xdr:nvGraphicFramePr>
        <xdr:cNvPr id="61" name="Chart 60">
          <a:extLst>
            <a:ext uri="{FF2B5EF4-FFF2-40B4-BE49-F238E27FC236}">
              <a16:creationId xmlns:a16="http://schemas.microsoft.com/office/drawing/2014/main" id="{FF2B0E9F-B4B4-49E5-B497-650A17BA58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76506</xdr:colOff>
      <xdr:row>22</xdr:row>
      <xdr:rowOff>68855</xdr:rowOff>
    </xdr:from>
    <xdr:to>
      <xdr:col>17</xdr:col>
      <xdr:colOff>230274</xdr:colOff>
      <xdr:row>33</xdr:row>
      <xdr:rowOff>103283</xdr:rowOff>
    </xdr:to>
    <xdr:graphicFrame macro="">
      <xdr:nvGraphicFramePr>
        <xdr:cNvPr id="64" name="Chart 63">
          <a:extLst>
            <a:ext uri="{FF2B5EF4-FFF2-40B4-BE49-F238E27FC236}">
              <a16:creationId xmlns:a16="http://schemas.microsoft.com/office/drawing/2014/main" id="{CF42FE99-AD08-44F4-8DA2-BBAFFE4510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317500</xdr:colOff>
      <xdr:row>4</xdr:row>
      <xdr:rowOff>52780</xdr:rowOff>
    </xdr:from>
    <xdr:to>
      <xdr:col>16</xdr:col>
      <xdr:colOff>14768</xdr:colOff>
      <xdr:row>9</xdr:row>
      <xdr:rowOff>135095</xdr:rowOff>
    </xdr:to>
    <mc:AlternateContent xmlns:mc="http://schemas.openxmlformats.org/markup-compatibility/2006" xmlns:a14="http://schemas.microsoft.com/office/drawing/2010/main">
      <mc:Choice Requires="a14">
        <xdr:graphicFrame macro="">
          <xdr:nvGraphicFramePr>
            <xdr:cNvPr id="5" name="Category1">
              <a:extLst>
                <a:ext uri="{FF2B5EF4-FFF2-40B4-BE49-F238E27FC236}">
                  <a16:creationId xmlns:a16="http://schemas.microsoft.com/office/drawing/2014/main" id="{0A53E6F7-27E8-44BA-BF76-DBBC2CE0C407}"/>
                </a:ext>
              </a:extLst>
            </xdr:cNvPr>
            <xdr:cNvGraphicFramePr/>
          </xdr:nvGraphicFramePr>
          <xdr:xfrm>
            <a:off x="0" y="0"/>
            <a:ext cx="0" cy="0"/>
          </xdr:xfrm>
          <a:graphic>
            <a:graphicData uri="http://schemas.microsoft.com/office/drawing/2010/slicer">
              <sle:slicer xmlns:sle="http://schemas.microsoft.com/office/drawing/2010/slicer" name="Category1"/>
            </a:graphicData>
          </a:graphic>
        </xdr:graphicFrame>
      </mc:Choice>
      <mc:Fallback xmlns="">
        <xdr:sp macro="" textlink="">
          <xdr:nvSpPr>
            <xdr:cNvPr id="0" name=""/>
            <xdr:cNvSpPr>
              <a:spLocks noTextEdit="1"/>
            </xdr:cNvSpPr>
          </xdr:nvSpPr>
          <xdr:spPr>
            <a:xfrm>
              <a:off x="8826500" y="778494"/>
              <a:ext cx="912839" cy="98945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30870</xdr:colOff>
      <xdr:row>4</xdr:row>
      <xdr:rowOff>48356</xdr:rowOff>
    </xdr:from>
    <xdr:to>
      <xdr:col>17</xdr:col>
      <xdr:colOff>228896</xdr:colOff>
      <xdr:row>9</xdr:row>
      <xdr:rowOff>131231</xdr:rowOff>
    </xdr:to>
    <mc:AlternateContent xmlns:mc="http://schemas.openxmlformats.org/markup-compatibility/2006" xmlns:a14="http://schemas.microsoft.com/office/drawing/2010/main">
      <mc:Choice Requires="a14">
        <xdr:graphicFrame macro="">
          <xdr:nvGraphicFramePr>
            <xdr:cNvPr id="6" name="Months (Date) 1">
              <a:extLst>
                <a:ext uri="{FF2B5EF4-FFF2-40B4-BE49-F238E27FC236}">
                  <a16:creationId xmlns:a16="http://schemas.microsoft.com/office/drawing/2014/main" id="{A04B1FCA-8CE9-4319-803F-2F12BD0677EA}"/>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9755441" y="774070"/>
              <a:ext cx="805812" cy="99001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361980</xdr:colOff>
      <xdr:row>22</xdr:row>
      <xdr:rowOff>62366</xdr:rowOff>
    </xdr:from>
    <xdr:to>
      <xdr:col>11</xdr:col>
      <xdr:colOff>525053</xdr:colOff>
      <xdr:row>33</xdr:row>
      <xdr:rowOff>103216</xdr:rowOff>
    </xdr:to>
    <xdr:graphicFrame macro="">
      <xdr:nvGraphicFramePr>
        <xdr:cNvPr id="3" name="Chart 2">
          <a:extLst>
            <a:ext uri="{FF2B5EF4-FFF2-40B4-BE49-F238E27FC236}">
              <a16:creationId xmlns:a16="http://schemas.microsoft.com/office/drawing/2014/main" id="{6063383E-7C22-4535-83B7-548E8C015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rr Henry" refreshedDate="46253.659716087961" createdVersion="8" refreshedVersion="8" minRefreshableVersion="3" recordCount="500" xr:uid="{DEA71BAC-C210-4E92-BF4C-0A3FD3EE48B3}">
  <cacheSource type="worksheet">
    <worksheetSource name="Shoe_Sales"/>
  </cacheSource>
  <cacheFields count="18">
    <cacheField name="ID" numFmtId="22">
      <sharedItems/>
    </cacheField>
    <cacheField name="Date" numFmtId="22">
      <sharedItems containsSemiMixedTypes="0" containsNonDate="0" containsDate="1" containsString="0" minDate="2026-01-01T00:00:00" maxDate="2026-08-15T00:00:00" count="203">
        <d v="2026-01-01T00:00:00"/>
        <d v="2026-01-02T00:00:00"/>
        <d v="2026-01-03T00:00:00"/>
        <d v="2026-01-04T00:00:00"/>
        <d v="2026-01-06T00:00:00"/>
        <d v="2026-01-07T00:00:00"/>
        <d v="2026-01-08T00:00:00"/>
        <d v="2026-01-09T00:00:00"/>
        <d v="2026-01-10T00:00:00"/>
        <d v="2026-01-11T00:00:00"/>
        <d v="2026-01-12T00:00:00"/>
        <d v="2026-01-13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3T00:00:00"/>
        <d v="2026-02-04T00:00:00"/>
        <d v="2026-02-05T00:00:00"/>
        <d v="2026-02-06T00:00:00"/>
        <d v="2026-02-07T00:00:00"/>
        <d v="2026-02-08T00:00:00"/>
        <d v="2026-02-09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20T00:00:00"/>
        <d v="2026-03-22T00:00:00"/>
        <d v="2026-03-24T00:00:00"/>
        <d v="2026-03-25T00:00:00"/>
        <d v="2026-03-26T00:00:00"/>
        <d v="2026-03-27T00:00:00"/>
        <d v="2026-03-28T00:00:00"/>
        <d v="2026-03-29T00:00:00"/>
        <d v="2026-03-30T00:00:00"/>
        <d v="2026-03-31T00:00:00"/>
        <d v="2026-04-02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5T00:00:00"/>
        <d v="2026-04-26T00:00:00"/>
        <d v="2026-04-28T00:00:00"/>
        <d v="2026-04-29T00:00:00"/>
        <d v="2026-04-30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7T00:00:00"/>
        <d v="2026-05-18T00:00:00"/>
        <d v="2026-05-19T00:00:00"/>
        <d v="2026-05-20T00:00:00"/>
        <d v="2026-05-21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4T00:00:00"/>
        <d v="2026-06-15T00:00:00"/>
        <d v="2026-06-16T00:00:00"/>
        <d v="2026-06-17T00:00:00"/>
        <d v="2026-06-18T00:00:00"/>
        <d v="2026-06-19T00:00:00"/>
        <d v="2026-06-20T00:00:00"/>
        <d v="2026-06-21T00:00:00"/>
        <d v="2026-06-23T00:00:00"/>
        <d v="2026-06-24T00:00:00"/>
        <d v="2026-06-25T00:00:00"/>
        <d v="2026-06-26T00:00:00"/>
        <d v="2026-06-27T00:00:00"/>
        <d v="2026-06-28T00:00:00"/>
        <d v="2026-06-29T00:00:00"/>
        <d v="2026-06-30T00:00:00"/>
        <d v="2026-07-01T00:00:00"/>
        <d v="2026-07-02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3T00:00:00"/>
        <d v="2026-07-24T00:00:00"/>
        <d v="2026-07-25T00:00:00"/>
        <d v="2026-07-26T00:00:00"/>
        <d v="2026-07-27T00:00:00"/>
        <d v="2026-07-28T00:00:00"/>
        <d v="2026-07-30T00:00:00"/>
        <d v="2026-07-31T00:00:00"/>
        <d v="2026-08-01T00:00:00"/>
        <d v="2026-08-02T00:00:00"/>
        <d v="2026-08-03T00:00:00"/>
        <d v="2026-08-04T00:00:00"/>
        <d v="2026-08-05T00:00:00"/>
        <d v="2026-08-06T00:00:00"/>
        <d v="2026-08-07T00:00:00"/>
        <d v="2026-08-08T00:00:00"/>
        <d v="2026-08-10T00:00:00"/>
        <d v="2026-08-11T00:00:00"/>
        <d v="2026-08-12T00:00:00"/>
        <d v="2026-08-13T00:00:00"/>
        <d v="2026-08-14T00:00:00"/>
      </sharedItems>
      <fieldGroup par="17"/>
    </cacheField>
    <cacheField name="Product" numFmtId="0">
      <sharedItems count="8">
        <s v="Slippers"/>
        <s v="Boots"/>
        <s v="Loafers"/>
        <s v="Monk Straps"/>
        <s v="Derby"/>
        <s v="Oxford"/>
        <s v="Brogues"/>
        <s v="Canvas"/>
      </sharedItems>
    </cacheField>
    <cacheField name="Category" numFmtId="0">
      <sharedItems count="4">
        <s v="Casual"/>
        <s v="Formal"/>
        <s v="Utility"/>
        <s v="Open"/>
      </sharedItems>
    </cacheField>
    <cacheField name="Color" numFmtId="0">
      <sharedItems/>
    </cacheField>
    <cacheField name="Brand" numFmtId="0">
      <sharedItems count="5">
        <s v="Clarks"/>
        <s v="Steve Madden"/>
        <s v="Zara"/>
        <s v="Timberland"/>
        <s v="Nike"/>
      </sharedItems>
    </cacheField>
    <cacheField name="Country" numFmtId="0">
      <sharedItems count="14">
        <s v="USA"/>
        <s v="India"/>
        <s v="Canada"/>
        <s v="Cyprus"/>
        <s v="Nigeria"/>
        <s v="Philippines"/>
        <s v="Uganda"/>
        <s v="Zimbabwe"/>
        <s v="Ghana"/>
        <s v="Germany"/>
        <s v="Albania"/>
        <s v="UK"/>
        <s v="Australia"/>
        <s v="Kenya"/>
      </sharedItems>
    </cacheField>
    <cacheField name="Quantity" numFmtId="0">
      <sharedItems containsSemiMixedTypes="0" containsString="0" containsNumber="1" containsInteger="1" minValue="1" maxValue="15"/>
    </cacheField>
    <cacheField name="Payment Type" numFmtId="0">
      <sharedItems count="4">
        <s v="Cash"/>
        <s v="Card"/>
        <s v="Mobile Money"/>
        <s v="Bank Transfer"/>
      </sharedItems>
    </cacheField>
    <cacheField name="Cost Price" numFmtId="0">
      <sharedItems containsSemiMixedTypes="0" containsString="0" containsNumber="1" containsInteger="1" minValue="14" maxValue="72"/>
    </cacheField>
    <cacheField name="Selling Price" numFmtId="0">
      <sharedItems containsSemiMixedTypes="0" containsString="0" containsNumber="1" containsInteger="1" minValue="32" maxValue="128"/>
    </cacheField>
    <cacheField name="Cost" numFmtId="0">
      <sharedItems containsSemiMixedTypes="0" containsString="0" containsNumber="1" containsInteger="1" minValue="14" maxValue="1080"/>
    </cacheField>
    <cacheField name="Revenue" numFmtId="0">
      <sharedItems containsSemiMixedTypes="0" containsString="0" containsNumber="1" containsInteger="1" minValue="32" maxValue="1920"/>
    </cacheField>
    <cacheField name="Profit" numFmtId="0">
      <sharedItems containsSemiMixedTypes="0" containsString="0" containsNumber="1" containsInteger="1" minValue="18" maxValue="840"/>
    </cacheField>
    <cacheField name="Profit Margin" numFmtId="9">
      <sharedItems containsSemiMixedTypes="0" containsString="0" containsNumber="1" minValue="0.42857142857142855" maxValue="0.5625"/>
    </cacheField>
    <cacheField name="Margin %" numFmtId="0" formula="Profit/Revenue" databaseField="0"/>
    <cacheField name="Days (Date)" numFmtId="0" databaseField="0">
      <fieldGroup base="1">
        <rangePr groupBy="days" startDate="2026-01-01T00:00:00" endDate="2026-08-15T00:00:00"/>
        <groupItems count="368">
          <s v="&lt;01-01-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8-26"/>
        </groupItems>
      </fieldGroup>
    </cacheField>
    <cacheField name="Months (Date)" numFmtId="0" databaseField="0">
      <fieldGroup base="1">
        <rangePr groupBy="months" startDate="2026-01-01T00:00:00" endDate="2026-08-15T00:00:00"/>
        <groupItems count="14">
          <s v="&lt;01-01-26"/>
          <s v="Jan"/>
          <s v="Feb"/>
          <s v="Mar"/>
          <s v="Apr"/>
          <s v="May"/>
          <s v="Jun"/>
          <s v="Jul"/>
          <s v="Aug"/>
          <s v="Sep"/>
          <s v="Oct"/>
          <s v="Nov"/>
          <s v="Dec"/>
          <s v="&gt;15-08-26"/>
        </groupItems>
      </fieldGroup>
    </cacheField>
  </cacheFields>
  <extLst>
    <ext xmlns:x14="http://schemas.microsoft.com/office/spreadsheetml/2009/9/main" uri="{725AE2AE-9491-48be-B2B4-4EB974FC3084}">
      <x14:pivotCacheDefinition pivotCacheId="14575234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T001"/>
    <x v="0"/>
    <x v="0"/>
    <x v="0"/>
    <s v="Black"/>
    <x v="0"/>
    <x v="0"/>
    <n v="9"/>
    <x v="0"/>
    <n v="67"/>
    <n v="119"/>
    <n v="603"/>
    <n v="1071"/>
    <n v="468"/>
    <n v="0.43697478991596639"/>
  </r>
  <r>
    <s v="T002"/>
    <x v="0"/>
    <x v="1"/>
    <x v="0"/>
    <s v="Red"/>
    <x v="0"/>
    <x v="1"/>
    <n v="12"/>
    <x v="0"/>
    <n v="39"/>
    <n v="76"/>
    <n v="468"/>
    <n v="912"/>
    <n v="444"/>
    <n v="0.48684210526315791"/>
  </r>
  <r>
    <s v="T003"/>
    <x v="1"/>
    <x v="1"/>
    <x v="1"/>
    <s v="Black"/>
    <x v="0"/>
    <x v="2"/>
    <n v="11"/>
    <x v="1"/>
    <n v="39"/>
    <n v="76"/>
    <n v="429"/>
    <n v="836"/>
    <n v="407"/>
    <n v="0.48684210526315791"/>
  </r>
  <r>
    <s v="T004"/>
    <x v="1"/>
    <x v="2"/>
    <x v="1"/>
    <s v="Black"/>
    <x v="1"/>
    <x v="3"/>
    <n v="13"/>
    <x v="2"/>
    <n v="28"/>
    <n v="54"/>
    <n v="364"/>
    <n v="702"/>
    <n v="338"/>
    <n v="0.48148148148148145"/>
  </r>
  <r>
    <s v="T005"/>
    <x v="1"/>
    <x v="3"/>
    <x v="2"/>
    <s v="Blue"/>
    <x v="2"/>
    <x v="4"/>
    <n v="12"/>
    <x v="0"/>
    <n v="47"/>
    <n v="89"/>
    <n v="564"/>
    <n v="1068"/>
    <n v="504"/>
    <n v="0.47191011235955055"/>
  </r>
  <r>
    <s v="T006"/>
    <x v="2"/>
    <x v="4"/>
    <x v="1"/>
    <s v="Red"/>
    <x v="0"/>
    <x v="5"/>
    <n v="15"/>
    <x v="2"/>
    <n v="14"/>
    <n v="32"/>
    <n v="210"/>
    <n v="480"/>
    <n v="270"/>
    <n v="0.5625"/>
  </r>
  <r>
    <s v="T007"/>
    <x v="2"/>
    <x v="1"/>
    <x v="1"/>
    <s v="Blue"/>
    <x v="0"/>
    <x v="0"/>
    <n v="13"/>
    <x v="1"/>
    <n v="39"/>
    <n v="76"/>
    <n v="507"/>
    <n v="988"/>
    <n v="481"/>
    <n v="0.48684210526315791"/>
  </r>
  <r>
    <s v="T008"/>
    <x v="2"/>
    <x v="2"/>
    <x v="0"/>
    <s v="Blue"/>
    <x v="0"/>
    <x v="6"/>
    <n v="14"/>
    <x v="0"/>
    <n v="28"/>
    <n v="54"/>
    <n v="392"/>
    <n v="756"/>
    <n v="364"/>
    <n v="0.48148148148148145"/>
  </r>
  <r>
    <s v="T009"/>
    <x v="3"/>
    <x v="0"/>
    <x v="0"/>
    <s v="Green"/>
    <x v="0"/>
    <x v="7"/>
    <n v="9"/>
    <x v="1"/>
    <n v="67"/>
    <n v="119"/>
    <n v="603"/>
    <n v="1071"/>
    <n v="468"/>
    <n v="0.43697478991596639"/>
  </r>
  <r>
    <s v="T010"/>
    <x v="3"/>
    <x v="5"/>
    <x v="0"/>
    <s v="Brown"/>
    <x v="3"/>
    <x v="1"/>
    <n v="3"/>
    <x v="2"/>
    <n v="58"/>
    <n v="105"/>
    <n v="174"/>
    <n v="315"/>
    <n v="141"/>
    <n v="0.44761904761904764"/>
  </r>
  <r>
    <s v="T011"/>
    <x v="4"/>
    <x v="5"/>
    <x v="1"/>
    <s v="Red"/>
    <x v="4"/>
    <x v="8"/>
    <n v="9"/>
    <x v="3"/>
    <n v="58"/>
    <n v="105"/>
    <n v="522"/>
    <n v="945"/>
    <n v="423"/>
    <n v="0.44761904761904764"/>
  </r>
  <r>
    <s v="T012"/>
    <x v="4"/>
    <x v="1"/>
    <x v="0"/>
    <s v="Blue"/>
    <x v="1"/>
    <x v="4"/>
    <n v="1"/>
    <x v="3"/>
    <n v="39"/>
    <n v="76"/>
    <n v="39"/>
    <n v="76"/>
    <n v="37"/>
    <n v="0.48684210526315791"/>
  </r>
  <r>
    <s v="T013"/>
    <x v="4"/>
    <x v="6"/>
    <x v="1"/>
    <s v="Black"/>
    <x v="0"/>
    <x v="7"/>
    <n v="8"/>
    <x v="2"/>
    <n v="64"/>
    <n v="112"/>
    <n v="512"/>
    <n v="896"/>
    <n v="384"/>
    <n v="0.42857142857142855"/>
  </r>
  <r>
    <s v="T014"/>
    <x v="5"/>
    <x v="1"/>
    <x v="3"/>
    <s v="Green"/>
    <x v="2"/>
    <x v="7"/>
    <n v="14"/>
    <x v="1"/>
    <n v="39"/>
    <n v="76"/>
    <n v="546"/>
    <n v="1064"/>
    <n v="518"/>
    <n v="0.48684210526315791"/>
  </r>
  <r>
    <s v="T015"/>
    <x v="6"/>
    <x v="4"/>
    <x v="0"/>
    <s v="Green"/>
    <x v="0"/>
    <x v="7"/>
    <n v="12"/>
    <x v="1"/>
    <n v="14"/>
    <n v="32"/>
    <n v="168"/>
    <n v="384"/>
    <n v="216"/>
    <n v="0.5625"/>
  </r>
  <r>
    <s v="T016"/>
    <x v="6"/>
    <x v="6"/>
    <x v="1"/>
    <s v="Blue"/>
    <x v="1"/>
    <x v="8"/>
    <n v="3"/>
    <x v="0"/>
    <n v="64"/>
    <n v="112"/>
    <n v="192"/>
    <n v="336"/>
    <n v="144"/>
    <n v="0.42857142857142855"/>
  </r>
  <r>
    <s v="T017"/>
    <x v="7"/>
    <x v="0"/>
    <x v="0"/>
    <s v="Green"/>
    <x v="4"/>
    <x v="0"/>
    <n v="6"/>
    <x v="0"/>
    <n v="67"/>
    <n v="119"/>
    <n v="402"/>
    <n v="714"/>
    <n v="312"/>
    <n v="0.43697478991596639"/>
  </r>
  <r>
    <s v="T018"/>
    <x v="7"/>
    <x v="7"/>
    <x v="1"/>
    <s v="Black"/>
    <x v="2"/>
    <x v="9"/>
    <n v="3"/>
    <x v="0"/>
    <n v="72"/>
    <n v="128"/>
    <n v="216"/>
    <n v="384"/>
    <n v="168"/>
    <n v="0.4375"/>
  </r>
  <r>
    <s v="T019"/>
    <x v="7"/>
    <x v="7"/>
    <x v="1"/>
    <s v="Black"/>
    <x v="0"/>
    <x v="4"/>
    <n v="7"/>
    <x v="0"/>
    <n v="72"/>
    <n v="128"/>
    <n v="504"/>
    <n v="896"/>
    <n v="392"/>
    <n v="0.4375"/>
  </r>
  <r>
    <s v="T020"/>
    <x v="7"/>
    <x v="5"/>
    <x v="1"/>
    <s v="Green"/>
    <x v="3"/>
    <x v="4"/>
    <n v="4"/>
    <x v="1"/>
    <n v="58"/>
    <n v="105"/>
    <n v="232"/>
    <n v="420"/>
    <n v="188"/>
    <n v="0.44761904761904764"/>
  </r>
  <r>
    <s v="T021"/>
    <x v="8"/>
    <x v="7"/>
    <x v="0"/>
    <s v="Blue"/>
    <x v="0"/>
    <x v="6"/>
    <n v="6"/>
    <x v="2"/>
    <n v="72"/>
    <n v="128"/>
    <n v="432"/>
    <n v="768"/>
    <n v="336"/>
    <n v="0.4375"/>
  </r>
  <r>
    <s v="T022"/>
    <x v="8"/>
    <x v="7"/>
    <x v="1"/>
    <s v="Red"/>
    <x v="0"/>
    <x v="10"/>
    <n v="7"/>
    <x v="3"/>
    <n v="72"/>
    <n v="128"/>
    <n v="504"/>
    <n v="896"/>
    <n v="392"/>
    <n v="0.4375"/>
  </r>
  <r>
    <s v="T023"/>
    <x v="9"/>
    <x v="7"/>
    <x v="0"/>
    <s v="Black"/>
    <x v="3"/>
    <x v="5"/>
    <n v="13"/>
    <x v="0"/>
    <n v="72"/>
    <n v="128"/>
    <n v="936"/>
    <n v="1664"/>
    <n v="728"/>
    <n v="0.4375"/>
  </r>
  <r>
    <s v="T024"/>
    <x v="9"/>
    <x v="5"/>
    <x v="1"/>
    <s v="Green"/>
    <x v="1"/>
    <x v="4"/>
    <n v="14"/>
    <x v="0"/>
    <n v="58"/>
    <n v="105"/>
    <n v="812"/>
    <n v="1470"/>
    <n v="658"/>
    <n v="0.44761904761904764"/>
  </r>
  <r>
    <s v="T025"/>
    <x v="10"/>
    <x v="6"/>
    <x v="0"/>
    <s v="Red"/>
    <x v="4"/>
    <x v="7"/>
    <n v="6"/>
    <x v="1"/>
    <n v="64"/>
    <n v="112"/>
    <n v="384"/>
    <n v="672"/>
    <n v="288"/>
    <n v="0.42857142857142855"/>
  </r>
  <r>
    <s v="T026"/>
    <x v="10"/>
    <x v="5"/>
    <x v="1"/>
    <s v="Green"/>
    <x v="1"/>
    <x v="7"/>
    <n v="15"/>
    <x v="1"/>
    <n v="58"/>
    <n v="105"/>
    <n v="870"/>
    <n v="1575"/>
    <n v="705"/>
    <n v="0.44761904761904764"/>
  </r>
  <r>
    <s v="T027"/>
    <x v="10"/>
    <x v="2"/>
    <x v="1"/>
    <s v="Blue"/>
    <x v="4"/>
    <x v="0"/>
    <n v="13"/>
    <x v="2"/>
    <n v="28"/>
    <n v="54"/>
    <n v="364"/>
    <n v="702"/>
    <n v="338"/>
    <n v="0.48148148148148145"/>
  </r>
  <r>
    <s v="T028"/>
    <x v="11"/>
    <x v="5"/>
    <x v="1"/>
    <s v="Brown"/>
    <x v="3"/>
    <x v="6"/>
    <n v="4"/>
    <x v="2"/>
    <n v="58"/>
    <n v="105"/>
    <n v="232"/>
    <n v="420"/>
    <n v="188"/>
    <n v="0.44761904761904764"/>
  </r>
  <r>
    <s v="T029"/>
    <x v="11"/>
    <x v="1"/>
    <x v="1"/>
    <s v="Red"/>
    <x v="1"/>
    <x v="0"/>
    <n v="14"/>
    <x v="3"/>
    <n v="39"/>
    <n v="76"/>
    <n v="546"/>
    <n v="1064"/>
    <n v="518"/>
    <n v="0.48684210526315791"/>
  </r>
  <r>
    <s v="T030"/>
    <x v="11"/>
    <x v="1"/>
    <x v="0"/>
    <s v="Blue"/>
    <x v="0"/>
    <x v="8"/>
    <n v="12"/>
    <x v="0"/>
    <n v="39"/>
    <n v="76"/>
    <n v="468"/>
    <n v="912"/>
    <n v="444"/>
    <n v="0.48684210526315791"/>
  </r>
  <r>
    <s v="T031"/>
    <x v="12"/>
    <x v="0"/>
    <x v="1"/>
    <s v="Brown"/>
    <x v="1"/>
    <x v="11"/>
    <n v="8"/>
    <x v="1"/>
    <n v="67"/>
    <n v="119"/>
    <n v="536"/>
    <n v="952"/>
    <n v="416"/>
    <n v="0.43697478991596639"/>
  </r>
  <r>
    <s v="T032"/>
    <x v="12"/>
    <x v="2"/>
    <x v="1"/>
    <s v="Red"/>
    <x v="2"/>
    <x v="7"/>
    <n v="7"/>
    <x v="0"/>
    <n v="28"/>
    <n v="54"/>
    <n v="196"/>
    <n v="378"/>
    <n v="182"/>
    <n v="0.48148148148148145"/>
  </r>
  <r>
    <s v="T033"/>
    <x v="12"/>
    <x v="3"/>
    <x v="1"/>
    <s v="Brown"/>
    <x v="2"/>
    <x v="7"/>
    <n v="9"/>
    <x v="1"/>
    <n v="47"/>
    <n v="89"/>
    <n v="423"/>
    <n v="801"/>
    <n v="378"/>
    <n v="0.47191011235955055"/>
  </r>
  <r>
    <s v="T034"/>
    <x v="12"/>
    <x v="2"/>
    <x v="2"/>
    <s v="Red"/>
    <x v="4"/>
    <x v="11"/>
    <n v="15"/>
    <x v="2"/>
    <n v="28"/>
    <n v="54"/>
    <n v="420"/>
    <n v="810"/>
    <n v="390"/>
    <n v="0.48148148148148145"/>
  </r>
  <r>
    <s v="T035"/>
    <x v="13"/>
    <x v="4"/>
    <x v="1"/>
    <s v="Green"/>
    <x v="0"/>
    <x v="12"/>
    <n v="10"/>
    <x v="0"/>
    <n v="14"/>
    <n v="32"/>
    <n v="140"/>
    <n v="320"/>
    <n v="180"/>
    <n v="0.5625"/>
  </r>
  <r>
    <s v="T036"/>
    <x v="14"/>
    <x v="5"/>
    <x v="1"/>
    <s v="Red"/>
    <x v="4"/>
    <x v="7"/>
    <n v="4"/>
    <x v="3"/>
    <n v="58"/>
    <n v="105"/>
    <n v="232"/>
    <n v="420"/>
    <n v="188"/>
    <n v="0.44761904761904764"/>
  </r>
  <r>
    <s v="T037"/>
    <x v="15"/>
    <x v="4"/>
    <x v="1"/>
    <s v="Blue"/>
    <x v="0"/>
    <x v="6"/>
    <n v="8"/>
    <x v="0"/>
    <n v="14"/>
    <n v="32"/>
    <n v="112"/>
    <n v="256"/>
    <n v="144"/>
    <n v="0.5625"/>
  </r>
  <r>
    <s v="T038"/>
    <x v="15"/>
    <x v="6"/>
    <x v="1"/>
    <s v="Brown"/>
    <x v="2"/>
    <x v="12"/>
    <n v="4"/>
    <x v="0"/>
    <n v="64"/>
    <n v="112"/>
    <n v="256"/>
    <n v="448"/>
    <n v="192"/>
    <n v="0.42857142857142855"/>
  </r>
  <r>
    <s v="T039"/>
    <x v="16"/>
    <x v="3"/>
    <x v="1"/>
    <s v="Green"/>
    <x v="0"/>
    <x v="10"/>
    <n v="5"/>
    <x v="2"/>
    <n v="47"/>
    <n v="89"/>
    <n v="235"/>
    <n v="445"/>
    <n v="210"/>
    <n v="0.47191011235955055"/>
  </r>
  <r>
    <s v="T040"/>
    <x v="16"/>
    <x v="4"/>
    <x v="2"/>
    <s v="Blue"/>
    <x v="1"/>
    <x v="10"/>
    <n v="7"/>
    <x v="0"/>
    <n v="14"/>
    <n v="32"/>
    <n v="98"/>
    <n v="224"/>
    <n v="126"/>
    <n v="0.5625"/>
  </r>
  <r>
    <s v="T041"/>
    <x v="16"/>
    <x v="3"/>
    <x v="3"/>
    <s v="Brown"/>
    <x v="3"/>
    <x v="0"/>
    <n v="6"/>
    <x v="2"/>
    <n v="47"/>
    <n v="89"/>
    <n v="282"/>
    <n v="534"/>
    <n v="252"/>
    <n v="0.47191011235955055"/>
  </r>
  <r>
    <s v="T042"/>
    <x v="16"/>
    <x v="2"/>
    <x v="1"/>
    <s v="Black"/>
    <x v="4"/>
    <x v="11"/>
    <n v="6"/>
    <x v="0"/>
    <n v="28"/>
    <n v="54"/>
    <n v="168"/>
    <n v="324"/>
    <n v="156"/>
    <n v="0.48148148148148145"/>
  </r>
  <r>
    <s v="T043"/>
    <x v="17"/>
    <x v="4"/>
    <x v="0"/>
    <s v="Green"/>
    <x v="0"/>
    <x v="13"/>
    <n v="4"/>
    <x v="0"/>
    <n v="14"/>
    <n v="32"/>
    <n v="56"/>
    <n v="128"/>
    <n v="72"/>
    <n v="0.5625"/>
  </r>
  <r>
    <s v="T044"/>
    <x v="17"/>
    <x v="1"/>
    <x v="2"/>
    <s v="Green"/>
    <x v="3"/>
    <x v="2"/>
    <n v="1"/>
    <x v="0"/>
    <n v="39"/>
    <n v="76"/>
    <n v="39"/>
    <n v="76"/>
    <n v="37"/>
    <n v="0.48684210526315791"/>
  </r>
  <r>
    <s v="T045"/>
    <x v="18"/>
    <x v="5"/>
    <x v="1"/>
    <s v="Red"/>
    <x v="2"/>
    <x v="12"/>
    <n v="14"/>
    <x v="0"/>
    <n v="58"/>
    <n v="105"/>
    <n v="812"/>
    <n v="1470"/>
    <n v="658"/>
    <n v="0.44761904761904764"/>
  </r>
  <r>
    <s v="T046"/>
    <x v="19"/>
    <x v="1"/>
    <x v="1"/>
    <s v="Black"/>
    <x v="0"/>
    <x v="0"/>
    <n v="3"/>
    <x v="1"/>
    <n v="39"/>
    <n v="76"/>
    <n v="117"/>
    <n v="228"/>
    <n v="111"/>
    <n v="0.48684210526315791"/>
  </r>
  <r>
    <s v="T047"/>
    <x v="19"/>
    <x v="0"/>
    <x v="0"/>
    <s v="Red"/>
    <x v="4"/>
    <x v="4"/>
    <n v="7"/>
    <x v="1"/>
    <n v="67"/>
    <n v="119"/>
    <n v="469"/>
    <n v="833"/>
    <n v="364"/>
    <n v="0.43697478991596639"/>
  </r>
  <r>
    <s v="T048"/>
    <x v="20"/>
    <x v="0"/>
    <x v="1"/>
    <s v="Red"/>
    <x v="4"/>
    <x v="4"/>
    <n v="1"/>
    <x v="3"/>
    <n v="67"/>
    <n v="119"/>
    <n v="67"/>
    <n v="119"/>
    <n v="52"/>
    <n v="0.43697478991596639"/>
  </r>
  <r>
    <s v="T049"/>
    <x v="20"/>
    <x v="2"/>
    <x v="1"/>
    <s v="Red"/>
    <x v="4"/>
    <x v="1"/>
    <n v="5"/>
    <x v="3"/>
    <n v="28"/>
    <n v="54"/>
    <n v="140"/>
    <n v="270"/>
    <n v="130"/>
    <n v="0.48148148148148145"/>
  </r>
  <r>
    <s v="T050"/>
    <x v="21"/>
    <x v="2"/>
    <x v="0"/>
    <s v="Red"/>
    <x v="1"/>
    <x v="1"/>
    <n v="10"/>
    <x v="1"/>
    <n v="28"/>
    <n v="54"/>
    <n v="280"/>
    <n v="540"/>
    <n v="260"/>
    <n v="0.48148148148148145"/>
  </r>
  <r>
    <s v="T051"/>
    <x v="21"/>
    <x v="7"/>
    <x v="1"/>
    <s v="Blue"/>
    <x v="0"/>
    <x v="3"/>
    <n v="8"/>
    <x v="3"/>
    <n v="72"/>
    <n v="128"/>
    <n v="576"/>
    <n v="1024"/>
    <n v="448"/>
    <n v="0.4375"/>
  </r>
  <r>
    <s v="T052"/>
    <x v="22"/>
    <x v="4"/>
    <x v="1"/>
    <s v="Black"/>
    <x v="0"/>
    <x v="8"/>
    <n v="5"/>
    <x v="0"/>
    <n v="14"/>
    <n v="32"/>
    <n v="70"/>
    <n v="160"/>
    <n v="90"/>
    <n v="0.5625"/>
  </r>
  <r>
    <s v="T053"/>
    <x v="22"/>
    <x v="5"/>
    <x v="2"/>
    <s v="Black"/>
    <x v="0"/>
    <x v="13"/>
    <n v="8"/>
    <x v="3"/>
    <n v="58"/>
    <n v="105"/>
    <n v="464"/>
    <n v="840"/>
    <n v="376"/>
    <n v="0.44761904761904764"/>
  </r>
  <r>
    <s v="T054"/>
    <x v="22"/>
    <x v="7"/>
    <x v="3"/>
    <s v="Red"/>
    <x v="2"/>
    <x v="8"/>
    <n v="14"/>
    <x v="1"/>
    <n v="72"/>
    <n v="128"/>
    <n v="1008"/>
    <n v="1792"/>
    <n v="784"/>
    <n v="0.4375"/>
  </r>
  <r>
    <s v="T055"/>
    <x v="22"/>
    <x v="3"/>
    <x v="1"/>
    <s v="Brown"/>
    <x v="2"/>
    <x v="7"/>
    <n v="5"/>
    <x v="0"/>
    <n v="47"/>
    <n v="89"/>
    <n v="235"/>
    <n v="445"/>
    <n v="210"/>
    <n v="0.47191011235955055"/>
  </r>
  <r>
    <s v="T056"/>
    <x v="23"/>
    <x v="3"/>
    <x v="0"/>
    <s v="Black"/>
    <x v="0"/>
    <x v="4"/>
    <n v="4"/>
    <x v="3"/>
    <n v="47"/>
    <n v="89"/>
    <n v="188"/>
    <n v="356"/>
    <n v="168"/>
    <n v="0.47191011235955055"/>
  </r>
  <r>
    <s v="T057"/>
    <x v="24"/>
    <x v="0"/>
    <x v="0"/>
    <s v="Red"/>
    <x v="0"/>
    <x v="9"/>
    <n v="3"/>
    <x v="1"/>
    <n v="67"/>
    <n v="119"/>
    <n v="201"/>
    <n v="357"/>
    <n v="156"/>
    <n v="0.43697478991596639"/>
  </r>
  <r>
    <s v="T058"/>
    <x v="24"/>
    <x v="2"/>
    <x v="2"/>
    <s v="Red"/>
    <x v="4"/>
    <x v="3"/>
    <n v="7"/>
    <x v="3"/>
    <n v="28"/>
    <n v="54"/>
    <n v="196"/>
    <n v="378"/>
    <n v="182"/>
    <n v="0.48148148148148145"/>
  </r>
  <r>
    <s v="T059"/>
    <x v="24"/>
    <x v="3"/>
    <x v="0"/>
    <s v="Blue"/>
    <x v="2"/>
    <x v="11"/>
    <n v="10"/>
    <x v="0"/>
    <n v="47"/>
    <n v="89"/>
    <n v="470"/>
    <n v="890"/>
    <n v="420"/>
    <n v="0.47191011235955055"/>
  </r>
  <r>
    <s v="T060"/>
    <x v="25"/>
    <x v="7"/>
    <x v="1"/>
    <s v="Green"/>
    <x v="1"/>
    <x v="3"/>
    <n v="1"/>
    <x v="1"/>
    <n v="72"/>
    <n v="128"/>
    <n v="72"/>
    <n v="128"/>
    <n v="56"/>
    <n v="0.4375"/>
  </r>
  <r>
    <s v="T061"/>
    <x v="25"/>
    <x v="7"/>
    <x v="1"/>
    <s v="Red"/>
    <x v="1"/>
    <x v="7"/>
    <n v="3"/>
    <x v="2"/>
    <n v="72"/>
    <n v="128"/>
    <n v="216"/>
    <n v="384"/>
    <n v="168"/>
    <n v="0.4375"/>
  </r>
  <r>
    <s v="T062"/>
    <x v="25"/>
    <x v="4"/>
    <x v="1"/>
    <s v="Red"/>
    <x v="0"/>
    <x v="5"/>
    <n v="5"/>
    <x v="3"/>
    <n v="14"/>
    <n v="32"/>
    <n v="70"/>
    <n v="160"/>
    <n v="90"/>
    <n v="0.5625"/>
  </r>
  <r>
    <s v="T063"/>
    <x v="25"/>
    <x v="7"/>
    <x v="2"/>
    <s v="Brown"/>
    <x v="4"/>
    <x v="12"/>
    <n v="2"/>
    <x v="2"/>
    <n v="72"/>
    <n v="128"/>
    <n v="144"/>
    <n v="256"/>
    <n v="112"/>
    <n v="0.4375"/>
  </r>
  <r>
    <s v="T064"/>
    <x v="26"/>
    <x v="5"/>
    <x v="2"/>
    <s v="Black"/>
    <x v="0"/>
    <x v="1"/>
    <n v="5"/>
    <x v="0"/>
    <n v="58"/>
    <n v="105"/>
    <n v="290"/>
    <n v="525"/>
    <n v="235"/>
    <n v="0.44761904761904764"/>
  </r>
  <r>
    <s v="T065"/>
    <x v="27"/>
    <x v="3"/>
    <x v="1"/>
    <s v="Green"/>
    <x v="4"/>
    <x v="13"/>
    <n v="7"/>
    <x v="2"/>
    <n v="47"/>
    <n v="89"/>
    <n v="329"/>
    <n v="623"/>
    <n v="294"/>
    <n v="0.47191011235955055"/>
  </r>
  <r>
    <s v="T066"/>
    <x v="27"/>
    <x v="4"/>
    <x v="0"/>
    <s v="Blue"/>
    <x v="1"/>
    <x v="11"/>
    <n v="5"/>
    <x v="0"/>
    <n v="14"/>
    <n v="32"/>
    <n v="70"/>
    <n v="160"/>
    <n v="90"/>
    <n v="0.5625"/>
  </r>
  <r>
    <s v="T067"/>
    <x v="28"/>
    <x v="4"/>
    <x v="1"/>
    <s v="Green"/>
    <x v="2"/>
    <x v="10"/>
    <n v="15"/>
    <x v="3"/>
    <n v="14"/>
    <n v="32"/>
    <n v="210"/>
    <n v="480"/>
    <n v="270"/>
    <n v="0.5625"/>
  </r>
  <r>
    <s v="T068"/>
    <x v="28"/>
    <x v="2"/>
    <x v="1"/>
    <s v="Brown"/>
    <x v="0"/>
    <x v="4"/>
    <n v="15"/>
    <x v="2"/>
    <n v="28"/>
    <n v="54"/>
    <n v="420"/>
    <n v="810"/>
    <n v="390"/>
    <n v="0.48148148148148145"/>
  </r>
  <r>
    <s v="T069"/>
    <x v="29"/>
    <x v="5"/>
    <x v="1"/>
    <s v="Black"/>
    <x v="0"/>
    <x v="0"/>
    <n v="12"/>
    <x v="1"/>
    <n v="58"/>
    <n v="105"/>
    <n v="696"/>
    <n v="1260"/>
    <n v="564"/>
    <n v="0.44761904761904764"/>
  </r>
  <r>
    <s v="T070"/>
    <x v="29"/>
    <x v="3"/>
    <x v="1"/>
    <s v="Blue"/>
    <x v="0"/>
    <x v="9"/>
    <n v="13"/>
    <x v="1"/>
    <n v="47"/>
    <n v="89"/>
    <n v="611"/>
    <n v="1157"/>
    <n v="546"/>
    <n v="0.47191011235955055"/>
  </r>
  <r>
    <s v="T071"/>
    <x v="30"/>
    <x v="6"/>
    <x v="1"/>
    <s v="Black"/>
    <x v="0"/>
    <x v="9"/>
    <n v="7"/>
    <x v="0"/>
    <n v="64"/>
    <n v="112"/>
    <n v="448"/>
    <n v="784"/>
    <n v="336"/>
    <n v="0.42857142857142855"/>
  </r>
  <r>
    <s v="T072"/>
    <x v="31"/>
    <x v="1"/>
    <x v="0"/>
    <s v="Red"/>
    <x v="3"/>
    <x v="6"/>
    <n v="14"/>
    <x v="0"/>
    <n v="39"/>
    <n v="76"/>
    <n v="546"/>
    <n v="1064"/>
    <n v="518"/>
    <n v="0.48684210526315791"/>
  </r>
  <r>
    <s v="T073"/>
    <x v="31"/>
    <x v="4"/>
    <x v="1"/>
    <s v="Brown"/>
    <x v="3"/>
    <x v="3"/>
    <n v="15"/>
    <x v="3"/>
    <n v="14"/>
    <n v="32"/>
    <n v="210"/>
    <n v="480"/>
    <n v="270"/>
    <n v="0.5625"/>
  </r>
  <r>
    <s v="T074"/>
    <x v="32"/>
    <x v="2"/>
    <x v="1"/>
    <s v="Blue"/>
    <x v="2"/>
    <x v="8"/>
    <n v="8"/>
    <x v="1"/>
    <n v="28"/>
    <n v="54"/>
    <n v="224"/>
    <n v="432"/>
    <n v="208"/>
    <n v="0.48148148148148145"/>
  </r>
  <r>
    <s v="T075"/>
    <x v="32"/>
    <x v="3"/>
    <x v="2"/>
    <s v="Brown"/>
    <x v="0"/>
    <x v="1"/>
    <n v="13"/>
    <x v="0"/>
    <n v="47"/>
    <n v="89"/>
    <n v="611"/>
    <n v="1157"/>
    <n v="546"/>
    <n v="0.47191011235955055"/>
  </r>
  <r>
    <s v="T076"/>
    <x v="33"/>
    <x v="7"/>
    <x v="1"/>
    <s v="Black"/>
    <x v="0"/>
    <x v="2"/>
    <n v="3"/>
    <x v="3"/>
    <n v="72"/>
    <n v="128"/>
    <n v="216"/>
    <n v="384"/>
    <n v="168"/>
    <n v="0.4375"/>
  </r>
  <r>
    <s v="T077"/>
    <x v="34"/>
    <x v="5"/>
    <x v="3"/>
    <s v="Green"/>
    <x v="2"/>
    <x v="11"/>
    <n v="14"/>
    <x v="1"/>
    <n v="58"/>
    <n v="105"/>
    <n v="812"/>
    <n v="1470"/>
    <n v="658"/>
    <n v="0.44761904761904764"/>
  </r>
  <r>
    <s v="T078"/>
    <x v="34"/>
    <x v="4"/>
    <x v="1"/>
    <s v="Black"/>
    <x v="4"/>
    <x v="1"/>
    <n v="13"/>
    <x v="2"/>
    <n v="14"/>
    <n v="32"/>
    <n v="182"/>
    <n v="416"/>
    <n v="234"/>
    <n v="0.5625"/>
  </r>
  <r>
    <s v="T079"/>
    <x v="34"/>
    <x v="3"/>
    <x v="2"/>
    <s v="Blue"/>
    <x v="0"/>
    <x v="12"/>
    <n v="15"/>
    <x v="0"/>
    <n v="47"/>
    <n v="89"/>
    <n v="705"/>
    <n v="1335"/>
    <n v="630"/>
    <n v="0.47191011235955055"/>
  </r>
  <r>
    <s v="T080"/>
    <x v="35"/>
    <x v="3"/>
    <x v="1"/>
    <s v="Green"/>
    <x v="0"/>
    <x v="11"/>
    <n v="4"/>
    <x v="1"/>
    <n v="47"/>
    <n v="89"/>
    <n v="188"/>
    <n v="356"/>
    <n v="168"/>
    <n v="0.47191011235955055"/>
  </r>
  <r>
    <s v="T081"/>
    <x v="35"/>
    <x v="0"/>
    <x v="1"/>
    <s v="Blue"/>
    <x v="2"/>
    <x v="0"/>
    <n v="1"/>
    <x v="2"/>
    <n v="67"/>
    <n v="119"/>
    <n v="67"/>
    <n v="119"/>
    <n v="52"/>
    <n v="0.43697478991596639"/>
  </r>
  <r>
    <s v="T082"/>
    <x v="36"/>
    <x v="6"/>
    <x v="1"/>
    <s v="Red"/>
    <x v="2"/>
    <x v="6"/>
    <n v="8"/>
    <x v="0"/>
    <n v="64"/>
    <n v="112"/>
    <n v="512"/>
    <n v="896"/>
    <n v="384"/>
    <n v="0.42857142857142855"/>
  </r>
  <r>
    <s v="T083"/>
    <x v="36"/>
    <x v="0"/>
    <x v="3"/>
    <s v="Brown"/>
    <x v="1"/>
    <x v="3"/>
    <n v="7"/>
    <x v="1"/>
    <n v="67"/>
    <n v="119"/>
    <n v="469"/>
    <n v="833"/>
    <n v="364"/>
    <n v="0.43697478991596639"/>
  </r>
  <r>
    <s v="T084"/>
    <x v="37"/>
    <x v="7"/>
    <x v="1"/>
    <s v="Black"/>
    <x v="1"/>
    <x v="7"/>
    <n v="15"/>
    <x v="0"/>
    <n v="72"/>
    <n v="128"/>
    <n v="1080"/>
    <n v="1920"/>
    <n v="840"/>
    <n v="0.4375"/>
  </r>
  <r>
    <s v="T085"/>
    <x v="38"/>
    <x v="5"/>
    <x v="1"/>
    <s v="Brown"/>
    <x v="2"/>
    <x v="13"/>
    <n v="10"/>
    <x v="1"/>
    <n v="58"/>
    <n v="105"/>
    <n v="580"/>
    <n v="1050"/>
    <n v="470"/>
    <n v="0.44761904761904764"/>
  </r>
  <r>
    <s v="T086"/>
    <x v="38"/>
    <x v="0"/>
    <x v="0"/>
    <s v="Brown"/>
    <x v="0"/>
    <x v="11"/>
    <n v="1"/>
    <x v="0"/>
    <n v="67"/>
    <n v="119"/>
    <n v="67"/>
    <n v="119"/>
    <n v="52"/>
    <n v="0.43697478991596639"/>
  </r>
  <r>
    <s v="T087"/>
    <x v="38"/>
    <x v="3"/>
    <x v="1"/>
    <s v="Black"/>
    <x v="2"/>
    <x v="10"/>
    <n v="15"/>
    <x v="2"/>
    <n v="47"/>
    <n v="89"/>
    <n v="705"/>
    <n v="1335"/>
    <n v="630"/>
    <n v="0.47191011235955055"/>
  </r>
  <r>
    <s v="T088"/>
    <x v="39"/>
    <x v="4"/>
    <x v="1"/>
    <s v="Red"/>
    <x v="3"/>
    <x v="11"/>
    <n v="10"/>
    <x v="1"/>
    <n v="14"/>
    <n v="32"/>
    <n v="140"/>
    <n v="320"/>
    <n v="180"/>
    <n v="0.5625"/>
  </r>
  <r>
    <s v="T089"/>
    <x v="39"/>
    <x v="6"/>
    <x v="0"/>
    <s v="Blue"/>
    <x v="2"/>
    <x v="5"/>
    <n v="13"/>
    <x v="0"/>
    <n v="64"/>
    <n v="112"/>
    <n v="832"/>
    <n v="1456"/>
    <n v="624"/>
    <n v="0.42857142857142855"/>
  </r>
  <r>
    <s v="T090"/>
    <x v="40"/>
    <x v="5"/>
    <x v="1"/>
    <s v="Brown"/>
    <x v="0"/>
    <x v="10"/>
    <n v="8"/>
    <x v="0"/>
    <n v="58"/>
    <n v="105"/>
    <n v="464"/>
    <n v="840"/>
    <n v="376"/>
    <n v="0.44761904761904764"/>
  </r>
  <r>
    <s v="T091"/>
    <x v="40"/>
    <x v="5"/>
    <x v="1"/>
    <s v="Red"/>
    <x v="2"/>
    <x v="9"/>
    <n v="3"/>
    <x v="3"/>
    <n v="58"/>
    <n v="105"/>
    <n v="174"/>
    <n v="315"/>
    <n v="141"/>
    <n v="0.44761904761904764"/>
  </r>
  <r>
    <s v="T092"/>
    <x v="41"/>
    <x v="3"/>
    <x v="1"/>
    <s v="Blue"/>
    <x v="2"/>
    <x v="10"/>
    <n v="7"/>
    <x v="0"/>
    <n v="47"/>
    <n v="89"/>
    <n v="329"/>
    <n v="623"/>
    <n v="294"/>
    <n v="0.47191011235955055"/>
  </r>
  <r>
    <s v="T093"/>
    <x v="41"/>
    <x v="2"/>
    <x v="1"/>
    <s v="Red"/>
    <x v="0"/>
    <x v="1"/>
    <n v="9"/>
    <x v="3"/>
    <n v="28"/>
    <n v="54"/>
    <n v="252"/>
    <n v="486"/>
    <n v="234"/>
    <n v="0.48148148148148145"/>
  </r>
  <r>
    <s v="T094"/>
    <x v="42"/>
    <x v="6"/>
    <x v="1"/>
    <s v="Black"/>
    <x v="2"/>
    <x v="4"/>
    <n v="1"/>
    <x v="2"/>
    <n v="64"/>
    <n v="112"/>
    <n v="64"/>
    <n v="112"/>
    <n v="48"/>
    <n v="0.42857142857142855"/>
  </r>
  <r>
    <s v="T095"/>
    <x v="42"/>
    <x v="5"/>
    <x v="1"/>
    <s v="Red"/>
    <x v="0"/>
    <x v="8"/>
    <n v="12"/>
    <x v="1"/>
    <n v="58"/>
    <n v="105"/>
    <n v="696"/>
    <n v="1260"/>
    <n v="564"/>
    <n v="0.44761904761904764"/>
  </r>
  <r>
    <s v="T096"/>
    <x v="42"/>
    <x v="5"/>
    <x v="1"/>
    <s v="Blue"/>
    <x v="0"/>
    <x v="8"/>
    <n v="15"/>
    <x v="1"/>
    <n v="58"/>
    <n v="105"/>
    <n v="870"/>
    <n v="1575"/>
    <n v="705"/>
    <n v="0.44761904761904764"/>
  </r>
  <r>
    <s v="T097"/>
    <x v="43"/>
    <x v="2"/>
    <x v="1"/>
    <s v="Brown"/>
    <x v="0"/>
    <x v="8"/>
    <n v="9"/>
    <x v="0"/>
    <n v="28"/>
    <n v="54"/>
    <n v="252"/>
    <n v="486"/>
    <n v="234"/>
    <n v="0.48148148148148145"/>
  </r>
  <r>
    <s v="T098"/>
    <x v="44"/>
    <x v="5"/>
    <x v="2"/>
    <s v="Brown"/>
    <x v="1"/>
    <x v="5"/>
    <n v="7"/>
    <x v="0"/>
    <n v="58"/>
    <n v="105"/>
    <n v="406"/>
    <n v="735"/>
    <n v="329"/>
    <n v="0.44761904761904764"/>
  </r>
  <r>
    <s v="T099"/>
    <x v="45"/>
    <x v="3"/>
    <x v="2"/>
    <s v="Blue"/>
    <x v="3"/>
    <x v="12"/>
    <n v="9"/>
    <x v="1"/>
    <n v="47"/>
    <n v="89"/>
    <n v="423"/>
    <n v="801"/>
    <n v="378"/>
    <n v="0.47191011235955055"/>
  </r>
  <r>
    <s v="T100"/>
    <x v="45"/>
    <x v="1"/>
    <x v="3"/>
    <s v="Green"/>
    <x v="4"/>
    <x v="4"/>
    <n v="14"/>
    <x v="0"/>
    <n v="39"/>
    <n v="76"/>
    <n v="546"/>
    <n v="1064"/>
    <n v="518"/>
    <n v="0.48684210526315791"/>
  </r>
  <r>
    <s v="T101"/>
    <x v="45"/>
    <x v="6"/>
    <x v="0"/>
    <s v="Green"/>
    <x v="2"/>
    <x v="12"/>
    <n v="15"/>
    <x v="3"/>
    <n v="64"/>
    <n v="112"/>
    <n v="960"/>
    <n v="1680"/>
    <n v="720"/>
    <n v="0.42857142857142855"/>
  </r>
  <r>
    <s v="T102"/>
    <x v="46"/>
    <x v="6"/>
    <x v="0"/>
    <s v="Green"/>
    <x v="3"/>
    <x v="6"/>
    <n v="4"/>
    <x v="3"/>
    <n v="64"/>
    <n v="112"/>
    <n v="256"/>
    <n v="448"/>
    <n v="192"/>
    <n v="0.42857142857142855"/>
  </r>
  <r>
    <s v="T103"/>
    <x v="46"/>
    <x v="1"/>
    <x v="3"/>
    <s v="Red"/>
    <x v="2"/>
    <x v="10"/>
    <n v="8"/>
    <x v="2"/>
    <n v="39"/>
    <n v="76"/>
    <n v="312"/>
    <n v="608"/>
    <n v="296"/>
    <n v="0.48684210526315791"/>
  </r>
  <r>
    <s v="T104"/>
    <x v="47"/>
    <x v="4"/>
    <x v="1"/>
    <s v="Green"/>
    <x v="0"/>
    <x v="5"/>
    <n v="8"/>
    <x v="1"/>
    <n v="14"/>
    <n v="32"/>
    <n v="112"/>
    <n v="256"/>
    <n v="144"/>
    <n v="0.5625"/>
  </r>
  <r>
    <s v="T105"/>
    <x v="47"/>
    <x v="4"/>
    <x v="3"/>
    <s v="Green"/>
    <x v="0"/>
    <x v="0"/>
    <n v="3"/>
    <x v="3"/>
    <n v="14"/>
    <n v="32"/>
    <n v="42"/>
    <n v="96"/>
    <n v="54"/>
    <n v="0.5625"/>
  </r>
  <r>
    <s v="T106"/>
    <x v="48"/>
    <x v="7"/>
    <x v="3"/>
    <s v="Green"/>
    <x v="0"/>
    <x v="1"/>
    <n v="10"/>
    <x v="1"/>
    <n v="72"/>
    <n v="128"/>
    <n v="720"/>
    <n v="1280"/>
    <n v="560"/>
    <n v="0.4375"/>
  </r>
  <r>
    <s v="T107"/>
    <x v="49"/>
    <x v="1"/>
    <x v="2"/>
    <s v="Black"/>
    <x v="0"/>
    <x v="2"/>
    <n v="6"/>
    <x v="3"/>
    <n v="39"/>
    <n v="76"/>
    <n v="234"/>
    <n v="456"/>
    <n v="222"/>
    <n v="0.48684210526315791"/>
  </r>
  <r>
    <s v="T108"/>
    <x v="50"/>
    <x v="7"/>
    <x v="1"/>
    <s v="Brown"/>
    <x v="3"/>
    <x v="4"/>
    <n v="5"/>
    <x v="3"/>
    <n v="72"/>
    <n v="128"/>
    <n v="360"/>
    <n v="640"/>
    <n v="280"/>
    <n v="0.4375"/>
  </r>
  <r>
    <s v="T109"/>
    <x v="50"/>
    <x v="5"/>
    <x v="0"/>
    <s v="Brown"/>
    <x v="0"/>
    <x v="9"/>
    <n v="7"/>
    <x v="1"/>
    <n v="58"/>
    <n v="105"/>
    <n v="406"/>
    <n v="735"/>
    <n v="329"/>
    <n v="0.44761904761904764"/>
  </r>
  <r>
    <s v="T110"/>
    <x v="50"/>
    <x v="4"/>
    <x v="3"/>
    <s v="Red"/>
    <x v="0"/>
    <x v="4"/>
    <n v="6"/>
    <x v="3"/>
    <n v="14"/>
    <n v="32"/>
    <n v="84"/>
    <n v="192"/>
    <n v="108"/>
    <n v="0.5625"/>
  </r>
  <r>
    <s v="T111"/>
    <x v="51"/>
    <x v="2"/>
    <x v="1"/>
    <s v="Brown"/>
    <x v="0"/>
    <x v="0"/>
    <n v="2"/>
    <x v="2"/>
    <n v="28"/>
    <n v="54"/>
    <n v="56"/>
    <n v="108"/>
    <n v="52"/>
    <n v="0.48148148148148145"/>
  </r>
  <r>
    <s v="T112"/>
    <x v="51"/>
    <x v="1"/>
    <x v="2"/>
    <s v="Green"/>
    <x v="2"/>
    <x v="11"/>
    <n v="8"/>
    <x v="0"/>
    <n v="39"/>
    <n v="76"/>
    <n v="312"/>
    <n v="608"/>
    <n v="296"/>
    <n v="0.48684210526315791"/>
  </r>
  <r>
    <s v="T113"/>
    <x v="51"/>
    <x v="4"/>
    <x v="1"/>
    <s v="Brown"/>
    <x v="0"/>
    <x v="9"/>
    <n v="8"/>
    <x v="3"/>
    <n v="14"/>
    <n v="32"/>
    <n v="112"/>
    <n v="256"/>
    <n v="144"/>
    <n v="0.5625"/>
  </r>
  <r>
    <s v="T114"/>
    <x v="51"/>
    <x v="7"/>
    <x v="0"/>
    <s v="Brown"/>
    <x v="2"/>
    <x v="11"/>
    <n v="13"/>
    <x v="2"/>
    <n v="72"/>
    <n v="128"/>
    <n v="936"/>
    <n v="1664"/>
    <n v="728"/>
    <n v="0.4375"/>
  </r>
  <r>
    <s v="T115"/>
    <x v="52"/>
    <x v="7"/>
    <x v="3"/>
    <s v="Red"/>
    <x v="0"/>
    <x v="2"/>
    <n v="5"/>
    <x v="3"/>
    <n v="72"/>
    <n v="128"/>
    <n v="360"/>
    <n v="640"/>
    <n v="280"/>
    <n v="0.4375"/>
  </r>
  <r>
    <s v="T116"/>
    <x v="53"/>
    <x v="3"/>
    <x v="0"/>
    <s v="Red"/>
    <x v="3"/>
    <x v="11"/>
    <n v="11"/>
    <x v="1"/>
    <n v="47"/>
    <n v="89"/>
    <n v="517"/>
    <n v="979"/>
    <n v="462"/>
    <n v="0.47191011235955055"/>
  </r>
  <r>
    <s v="T117"/>
    <x v="53"/>
    <x v="1"/>
    <x v="1"/>
    <s v="Blue"/>
    <x v="2"/>
    <x v="4"/>
    <n v="8"/>
    <x v="0"/>
    <n v="39"/>
    <n v="76"/>
    <n v="312"/>
    <n v="608"/>
    <n v="296"/>
    <n v="0.48684210526315791"/>
  </r>
  <r>
    <s v="T118"/>
    <x v="53"/>
    <x v="3"/>
    <x v="1"/>
    <s v="Brown"/>
    <x v="0"/>
    <x v="13"/>
    <n v="5"/>
    <x v="3"/>
    <n v="47"/>
    <n v="89"/>
    <n v="235"/>
    <n v="445"/>
    <n v="210"/>
    <n v="0.47191011235955055"/>
  </r>
  <r>
    <s v="T119"/>
    <x v="53"/>
    <x v="3"/>
    <x v="0"/>
    <s v="Brown"/>
    <x v="2"/>
    <x v="10"/>
    <n v="9"/>
    <x v="0"/>
    <n v="47"/>
    <n v="89"/>
    <n v="423"/>
    <n v="801"/>
    <n v="378"/>
    <n v="0.47191011235955055"/>
  </r>
  <r>
    <s v="T120"/>
    <x v="54"/>
    <x v="5"/>
    <x v="1"/>
    <s v="Green"/>
    <x v="4"/>
    <x v="11"/>
    <n v="14"/>
    <x v="3"/>
    <n v="58"/>
    <n v="105"/>
    <n v="812"/>
    <n v="1470"/>
    <n v="658"/>
    <n v="0.44761904761904764"/>
  </r>
  <r>
    <s v="T121"/>
    <x v="54"/>
    <x v="2"/>
    <x v="1"/>
    <s v="Blue"/>
    <x v="4"/>
    <x v="6"/>
    <n v="1"/>
    <x v="3"/>
    <n v="28"/>
    <n v="54"/>
    <n v="28"/>
    <n v="54"/>
    <n v="26"/>
    <n v="0.48148148148148145"/>
  </r>
  <r>
    <s v="T122"/>
    <x v="55"/>
    <x v="1"/>
    <x v="0"/>
    <s v="Brown"/>
    <x v="3"/>
    <x v="2"/>
    <n v="4"/>
    <x v="2"/>
    <n v="39"/>
    <n v="76"/>
    <n v="156"/>
    <n v="304"/>
    <n v="148"/>
    <n v="0.48684210526315791"/>
  </r>
  <r>
    <s v="T123"/>
    <x v="55"/>
    <x v="0"/>
    <x v="1"/>
    <s v="Brown"/>
    <x v="2"/>
    <x v="3"/>
    <n v="5"/>
    <x v="0"/>
    <n v="67"/>
    <n v="119"/>
    <n v="335"/>
    <n v="595"/>
    <n v="260"/>
    <n v="0.43697478991596639"/>
  </r>
  <r>
    <s v="T124"/>
    <x v="56"/>
    <x v="4"/>
    <x v="0"/>
    <s v="Brown"/>
    <x v="3"/>
    <x v="5"/>
    <n v="11"/>
    <x v="2"/>
    <n v="14"/>
    <n v="32"/>
    <n v="154"/>
    <n v="352"/>
    <n v="198"/>
    <n v="0.5625"/>
  </r>
  <r>
    <s v="T125"/>
    <x v="56"/>
    <x v="2"/>
    <x v="0"/>
    <s v="Blue"/>
    <x v="2"/>
    <x v="2"/>
    <n v="14"/>
    <x v="1"/>
    <n v="28"/>
    <n v="54"/>
    <n v="392"/>
    <n v="756"/>
    <n v="364"/>
    <n v="0.48148148148148145"/>
  </r>
  <r>
    <s v="T126"/>
    <x v="57"/>
    <x v="2"/>
    <x v="1"/>
    <s v="Red"/>
    <x v="1"/>
    <x v="3"/>
    <n v="8"/>
    <x v="0"/>
    <n v="28"/>
    <n v="54"/>
    <n v="224"/>
    <n v="432"/>
    <n v="208"/>
    <n v="0.48148148148148145"/>
  </r>
  <r>
    <s v="T127"/>
    <x v="57"/>
    <x v="3"/>
    <x v="1"/>
    <s v="Green"/>
    <x v="3"/>
    <x v="8"/>
    <n v="8"/>
    <x v="0"/>
    <n v="47"/>
    <n v="89"/>
    <n v="376"/>
    <n v="712"/>
    <n v="336"/>
    <n v="0.47191011235955055"/>
  </r>
  <r>
    <s v="T128"/>
    <x v="58"/>
    <x v="5"/>
    <x v="0"/>
    <s v="Black"/>
    <x v="4"/>
    <x v="0"/>
    <n v="11"/>
    <x v="2"/>
    <n v="58"/>
    <n v="105"/>
    <n v="638"/>
    <n v="1155"/>
    <n v="517"/>
    <n v="0.44761904761904764"/>
  </r>
  <r>
    <s v="T129"/>
    <x v="58"/>
    <x v="0"/>
    <x v="1"/>
    <s v="Brown"/>
    <x v="0"/>
    <x v="2"/>
    <n v="3"/>
    <x v="2"/>
    <n v="67"/>
    <n v="119"/>
    <n v="201"/>
    <n v="357"/>
    <n v="156"/>
    <n v="0.43697478991596639"/>
  </r>
  <r>
    <s v="T130"/>
    <x v="58"/>
    <x v="3"/>
    <x v="1"/>
    <s v="Black"/>
    <x v="2"/>
    <x v="6"/>
    <n v="4"/>
    <x v="1"/>
    <n v="47"/>
    <n v="89"/>
    <n v="188"/>
    <n v="356"/>
    <n v="168"/>
    <n v="0.47191011235955055"/>
  </r>
  <r>
    <s v="T131"/>
    <x v="58"/>
    <x v="6"/>
    <x v="3"/>
    <s v="Red"/>
    <x v="3"/>
    <x v="9"/>
    <n v="7"/>
    <x v="0"/>
    <n v="64"/>
    <n v="112"/>
    <n v="448"/>
    <n v="784"/>
    <n v="336"/>
    <n v="0.42857142857142855"/>
  </r>
  <r>
    <s v="T132"/>
    <x v="58"/>
    <x v="1"/>
    <x v="0"/>
    <s v="Green"/>
    <x v="3"/>
    <x v="13"/>
    <n v="10"/>
    <x v="2"/>
    <n v="39"/>
    <n v="76"/>
    <n v="390"/>
    <n v="760"/>
    <n v="370"/>
    <n v="0.48684210526315791"/>
  </r>
  <r>
    <s v="T133"/>
    <x v="59"/>
    <x v="0"/>
    <x v="1"/>
    <s v="Green"/>
    <x v="0"/>
    <x v="10"/>
    <n v="8"/>
    <x v="1"/>
    <n v="67"/>
    <n v="119"/>
    <n v="536"/>
    <n v="952"/>
    <n v="416"/>
    <n v="0.43697478991596639"/>
  </r>
  <r>
    <s v="T134"/>
    <x v="59"/>
    <x v="2"/>
    <x v="1"/>
    <s v="Blue"/>
    <x v="1"/>
    <x v="1"/>
    <n v="12"/>
    <x v="3"/>
    <n v="28"/>
    <n v="54"/>
    <n v="336"/>
    <n v="648"/>
    <n v="312"/>
    <n v="0.48148148148148145"/>
  </r>
  <r>
    <s v="T135"/>
    <x v="60"/>
    <x v="5"/>
    <x v="2"/>
    <s v="Red"/>
    <x v="0"/>
    <x v="0"/>
    <n v="3"/>
    <x v="0"/>
    <n v="58"/>
    <n v="105"/>
    <n v="174"/>
    <n v="315"/>
    <n v="141"/>
    <n v="0.44761904761904764"/>
  </r>
  <r>
    <s v="T136"/>
    <x v="61"/>
    <x v="1"/>
    <x v="3"/>
    <s v="Black"/>
    <x v="1"/>
    <x v="10"/>
    <n v="6"/>
    <x v="3"/>
    <n v="39"/>
    <n v="76"/>
    <n v="234"/>
    <n v="456"/>
    <n v="222"/>
    <n v="0.48684210526315791"/>
  </r>
  <r>
    <s v="T137"/>
    <x v="61"/>
    <x v="7"/>
    <x v="1"/>
    <s v="Blue"/>
    <x v="3"/>
    <x v="12"/>
    <n v="3"/>
    <x v="0"/>
    <n v="72"/>
    <n v="128"/>
    <n v="216"/>
    <n v="384"/>
    <n v="168"/>
    <n v="0.4375"/>
  </r>
  <r>
    <s v="T138"/>
    <x v="61"/>
    <x v="1"/>
    <x v="1"/>
    <s v="Brown"/>
    <x v="2"/>
    <x v="11"/>
    <n v="5"/>
    <x v="1"/>
    <n v="39"/>
    <n v="76"/>
    <n v="195"/>
    <n v="380"/>
    <n v="185"/>
    <n v="0.48684210526315791"/>
  </r>
  <r>
    <s v="T139"/>
    <x v="62"/>
    <x v="6"/>
    <x v="1"/>
    <s v="Blue"/>
    <x v="2"/>
    <x v="11"/>
    <n v="2"/>
    <x v="1"/>
    <n v="64"/>
    <n v="112"/>
    <n v="128"/>
    <n v="224"/>
    <n v="96"/>
    <n v="0.42857142857142855"/>
  </r>
  <r>
    <s v="T140"/>
    <x v="62"/>
    <x v="6"/>
    <x v="1"/>
    <s v="Blue"/>
    <x v="0"/>
    <x v="0"/>
    <n v="7"/>
    <x v="0"/>
    <n v="64"/>
    <n v="112"/>
    <n v="448"/>
    <n v="784"/>
    <n v="336"/>
    <n v="0.42857142857142855"/>
  </r>
  <r>
    <s v="T141"/>
    <x v="62"/>
    <x v="7"/>
    <x v="0"/>
    <s v="Brown"/>
    <x v="2"/>
    <x v="7"/>
    <n v="10"/>
    <x v="3"/>
    <n v="72"/>
    <n v="128"/>
    <n v="720"/>
    <n v="1280"/>
    <n v="560"/>
    <n v="0.4375"/>
  </r>
  <r>
    <s v="T142"/>
    <x v="62"/>
    <x v="2"/>
    <x v="0"/>
    <s v="Green"/>
    <x v="3"/>
    <x v="7"/>
    <n v="6"/>
    <x v="3"/>
    <n v="28"/>
    <n v="54"/>
    <n v="168"/>
    <n v="324"/>
    <n v="156"/>
    <n v="0.48148148148148145"/>
  </r>
  <r>
    <s v="T143"/>
    <x v="62"/>
    <x v="4"/>
    <x v="2"/>
    <s v="Blue"/>
    <x v="4"/>
    <x v="10"/>
    <n v="11"/>
    <x v="0"/>
    <n v="14"/>
    <n v="32"/>
    <n v="154"/>
    <n v="352"/>
    <n v="198"/>
    <n v="0.5625"/>
  </r>
  <r>
    <s v="T144"/>
    <x v="62"/>
    <x v="2"/>
    <x v="2"/>
    <s v="Black"/>
    <x v="0"/>
    <x v="8"/>
    <n v="7"/>
    <x v="1"/>
    <n v="28"/>
    <n v="54"/>
    <n v="196"/>
    <n v="378"/>
    <n v="182"/>
    <n v="0.48148148148148145"/>
  </r>
  <r>
    <s v="T145"/>
    <x v="62"/>
    <x v="4"/>
    <x v="2"/>
    <s v="Black"/>
    <x v="1"/>
    <x v="8"/>
    <n v="8"/>
    <x v="1"/>
    <n v="14"/>
    <n v="32"/>
    <n v="112"/>
    <n v="256"/>
    <n v="144"/>
    <n v="0.5625"/>
  </r>
  <r>
    <s v="T146"/>
    <x v="63"/>
    <x v="5"/>
    <x v="1"/>
    <s v="Brown"/>
    <x v="2"/>
    <x v="2"/>
    <n v="9"/>
    <x v="2"/>
    <n v="58"/>
    <n v="105"/>
    <n v="522"/>
    <n v="945"/>
    <n v="423"/>
    <n v="0.44761904761904764"/>
  </r>
  <r>
    <s v="T147"/>
    <x v="63"/>
    <x v="2"/>
    <x v="0"/>
    <s v="Green"/>
    <x v="0"/>
    <x v="7"/>
    <n v="8"/>
    <x v="3"/>
    <n v="28"/>
    <n v="54"/>
    <n v="224"/>
    <n v="432"/>
    <n v="208"/>
    <n v="0.48148148148148145"/>
  </r>
  <r>
    <s v="T148"/>
    <x v="63"/>
    <x v="1"/>
    <x v="1"/>
    <s v="Brown"/>
    <x v="2"/>
    <x v="0"/>
    <n v="6"/>
    <x v="0"/>
    <n v="39"/>
    <n v="76"/>
    <n v="234"/>
    <n v="456"/>
    <n v="222"/>
    <n v="0.48684210526315791"/>
  </r>
  <r>
    <s v="T149"/>
    <x v="63"/>
    <x v="5"/>
    <x v="1"/>
    <s v="Black"/>
    <x v="3"/>
    <x v="13"/>
    <n v="14"/>
    <x v="1"/>
    <n v="58"/>
    <n v="105"/>
    <n v="812"/>
    <n v="1470"/>
    <n v="658"/>
    <n v="0.44761904761904764"/>
  </r>
  <r>
    <s v="T150"/>
    <x v="64"/>
    <x v="1"/>
    <x v="1"/>
    <s v="Green"/>
    <x v="2"/>
    <x v="2"/>
    <n v="13"/>
    <x v="1"/>
    <n v="39"/>
    <n v="76"/>
    <n v="507"/>
    <n v="988"/>
    <n v="481"/>
    <n v="0.48684210526315791"/>
  </r>
  <r>
    <s v="T151"/>
    <x v="65"/>
    <x v="7"/>
    <x v="2"/>
    <s v="Blue"/>
    <x v="4"/>
    <x v="8"/>
    <n v="6"/>
    <x v="1"/>
    <n v="72"/>
    <n v="128"/>
    <n v="432"/>
    <n v="768"/>
    <n v="336"/>
    <n v="0.4375"/>
  </r>
  <r>
    <s v="T152"/>
    <x v="66"/>
    <x v="2"/>
    <x v="2"/>
    <s v="Red"/>
    <x v="4"/>
    <x v="10"/>
    <n v="12"/>
    <x v="3"/>
    <n v="28"/>
    <n v="54"/>
    <n v="336"/>
    <n v="648"/>
    <n v="312"/>
    <n v="0.48148148148148145"/>
  </r>
  <r>
    <s v="T153"/>
    <x v="66"/>
    <x v="1"/>
    <x v="0"/>
    <s v="Blue"/>
    <x v="0"/>
    <x v="2"/>
    <n v="8"/>
    <x v="1"/>
    <n v="39"/>
    <n v="76"/>
    <n v="312"/>
    <n v="608"/>
    <n v="296"/>
    <n v="0.48684210526315791"/>
  </r>
  <r>
    <s v="T154"/>
    <x v="66"/>
    <x v="4"/>
    <x v="0"/>
    <s v="Green"/>
    <x v="0"/>
    <x v="1"/>
    <n v="9"/>
    <x v="1"/>
    <n v="14"/>
    <n v="32"/>
    <n v="126"/>
    <n v="288"/>
    <n v="162"/>
    <n v="0.5625"/>
  </r>
  <r>
    <s v="T155"/>
    <x v="66"/>
    <x v="2"/>
    <x v="2"/>
    <s v="Green"/>
    <x v="1"/>
    <x v="1"/>
    <n v="9"/>
    <x v="2"/>
    <n v="28"/>
    <n v="54"/>
    <n v="252"/>
    <n v="486"/>
    <n v="234"/>
    <n v="0.48148148148148145"/>
  </r>
  <r>
    <s v="T156"/>
    <x v="66"/>
    <x v="2"/>
    <x v="3"/>
    <s v="Brown"/>
    <x v="0"/>
    <x v="13"/>
    <n v="7"/>
    <x v="1"/>
    <n v="28"/>
    <n v="54"/>
    <n v="196"/>
    <n v="378"/>
    <n v="182"/>
    <n v="0.48148148148148145"/>
  </r>
  <r>
    <s v="T157"/>
    <x v="67"/>
    <x v="4"/>
    <x v="1"/>
    <s v="Brown"/>
    <x v="2"/>
    <x v="2"/>
    <n v="15"/>
    <x v="0"/>
    <n v="14"/>
    <n v="32"/>
    <n v="210"/>
    <n v="480"/>
    <n v="270"/>
    <n v="0.5625"/>
  </r>
  <r>
    <s v="T158"/>
    <x v="68"/>
    <x v="7"/>
    <x v="0"/>
    <s v="Brown"/>
    <x v="2"/>
    <x v="0"/>
    <n v="10"/>
    <x v="3"/>
    <n v="72"/>
    <n v="128"/>
    <n v="720"/>
    <n v="1280"/>
    <n v="560"/>
    <n v="0.4375"/>
  </r>
  <r>
    <s v="T159"/>
    <x v="69"/>
    <x v="2"/>
    <x v="0"/>
    <s v="Green"/>
    <x v="0"/>
    <x v="12"/>
    <n v="9"/>
    <x v="0"/>
    <n v="28"/>
    <n v="54"/>
    <n v="252"/>
    <n v="486"/>
    <n v="234"/>
    <n v="0.48148148148148145"/>
  </r>
  <r>
    <s v="T160"/>
    <x v="69"/>
    <x v="0"/>
    <x v="1"/>
    <s v="Red"/>
    <x v="0"/>
    <x v="8"/>
    <n v="12"/>
    <x v="2"/>
    <n v="67"/>
    <n v="119"/>
    <n v="804"/>
    <n v="1428"/>
    <n v="624"/>
    <n v="0.43697478991596639"/>
  </r>
  <r>
    <s v="T161"/>
    <x v="69"/>
    <x v="2"/>
    <x v="0"/>
    <s v="Green"/>
    <x v="0"/>
    <x v="0"/>
    <n v="5"/>
    <x v="1"/>
    <n v="28"/>
    <n v="54"/>
    <n v="140"/>
    <n v="270"/>
    <n v="130"/>
    <n v="0.48148148148148145"/>
  </r>
  <r>
    <s v="T162"/>
    <x v="69"/>
    <x v="1"/>
    <x v="0"/>
    <s v="Green"/>
    <x v="1"/>
    <x v="1"/>
    <n v="7"/>
    <x v="2"/>
    <n v="39"/>
    <n v="76"/>
    <n v="273"/>
    <n v="532"/>
    <n v="259"/>
    <n v="0.48684210526315791"/>
  </r>
  <r>
    <s v="T163"/>
    <x v="70"/>
    <x v="0"/>
    <x v="1"/>
    <s v="Blue"/>
    <x v="2"/>
    <x v="1"/>
    <n v="13"/>
    <x v="2"/>
    <n v="67"/>
    <n v="119"/>
    <n v="871"/>
    <n v="1547"/>
    <n v="676"/>
    <n v="0.43697478991596639"/>
  </r>
  <r>
    <s v="T164"/>
    <x v="71"/>
    <x v="7"/>
    <x v="3"/>
    <s v="Green"/>
    <x v="4"/>
    <x v="2"/>
    <n v="7"/>
    <x v="3"/>
    <n v="72"/>
    <n v="128"/>
    <n v="504"/>
    <n v="896"/>
    <n v="392"/>
    <n v="0.4375"/>
  </r>
  <r>
    <s v="T165"/>
    <x v="71"/>
    <x v="1"/>
    <x v="1"/>
    <s v="Green"/>
    <x v="0"/>
    <x v="3"/>
    <n v="3"/>
    <x v="3"/>
    <n v="39"/>
    <n v="76"/>
    <n v="117"/>
    <n v="228"/>
    <n v="111"/>
    <n v="0.48684210526315791"/>
  </r>
  <r>
    <s v="T166"/>
    <x v="71"/>
    <x v="3"/>
    <x v="1"/>
    <s v="Black"/>
    <x v="3"/>
    <x v="4"/>
    <n v="4"/>
    <x v="3"/>
    <n v="47"/>
    <n v="89"/>
    <n v="188"/>
    <n v="356"/>
    <n v="168"/>
    <n v="0.47191011235955055"/>
  </r>
  <r>
    <s v="T167"/>
    <x v="72"/>
    <x v="1"/>
    <x v="0"/>
    <s v="Brown"/>
    <x v="2"/>
    <x v="1"/>
    <n v="4"/>
    <x v="3"/>
    <n v="39"/>
    <n v="76"/>
    <n v="156"/>
    <n v="304"/>
    <n v="148"/>
    <n v="0.48684210526315791"/>
  </r>
  <r>
    <s v="T168"/>
    <x v="72"/>
    <x v="4"/>
    <x v="1"/>
    <s v="Green"/>
    <x v="0"/>
    <x v="4"/>
    <n v="4"/>
    <x v="2"/>
    <n v="14"/>
    <n v="32"/>
    <n v="56"/>
    <n v="128"/>
    <n v="72"/>
    <n v="0.5625"/>
  </r>
  <r>
    <s v="T169"/>
    <x v="73"/>
    <x v="5"/>
    <x v="1"/>
    <s v="Green"/>
    <x v="0"/>
    <x v="0"/>
    <n v="14"/>
    <x v="1"/>
    <n v="58"/>
    <n v="105"/>
    <n v="812"/>
    <n v="1470"/>
    <n v="658"/>
    <n v="0.44761904761904764"/>
  </r>
  <r>
    <s v="T170"/>
    <x v="74"/>
    <x v="7"/>
    <x v="3"/>
    <s v="Black"/>
    <x v="3"/>
    <x v="6"/>
    <n v="2"/>
    <x v="0"/>
    <n v="72"/>
    <n v="128"/>
    <n v="144"/>
    <n v="256"/>
    <n v="112"/>
    <n v="0.4375"/>
  </r>
  <r>
    <s v="T171"/>
    <x v="74"/>
    <x v="6"/>
    <x v="3"/>
    <s v="Blue"/>
    <x v="2"/>
    <x v="8"/>
    <n v="5"/>
    <x v="0"/>
    <n v="64"/>
    <n v="112"/>
    <n v="320"/>
    <n v="560"/>
    <n v="240"/>
    <n v="0.42857142857142855"/>
  </r>
  <r>
    <s v="T172"/>
    <x v="74"/>
    <x v="4"/>
    <x v="0"/>
    <s v="Red"/>
    <x v="2"/>
    <x v="5"/>
    <n v="3"/>
    <x v="1"/>
    <n v="14"/>
    <n v="32"/>
    <n v="42"/>
    <n v="96"/>
    <n v="54"/>
    <n v="0.5625"/>
  </r>
  <r>
    <s v="T173"/>
    <x v="75"/>
    <x v="6"/>
    <x v="0"/>
    <s v="Red"/>
    <x v="3"/>
    <x v="13"/>
    <n v="2"/>
    <x v="1"/>
    <n v="64"/>
    <n v="112"/>
    <n v="128"/>
    <n v="224"/>
    <n v="96"/>
    <n v="0.42857142857142855"/>
  </r>
  <r>
    <s v="T174"/>
    <x v="75"/>
    <x v="6"/>
    <x v="0"/>
    <s v="Brown"/>
    <x v="2"/>
    <x v="8"/>
    <n v="2"/>
    <x v="2"/>
    <n v="64"/>
    <n v="112"/>
    <n v="128"/>
    <n v="224"/>
    <n v="96"/>
    <n v="0.42857142857142855"/>
  </r>
  <r>
    <s v="T175"/>
    <x v="75"/>
    <x v="1"/>
    <x v="0"/>
    <s v="Green"/>
    <x v="0"/>
    <x v="1"/>
    <n v="1"/>
    <x v="1"/>
    <n v="39"/>
    <n v="76"/>
    <n v="39"/>
    <n v="76"/>
    <n v="37"/>
    <n v="0.48684210526315791"/>
  </r>
  <r>
    <s v="T176"/>
    <x v="75"/>
    <x v="4"/>
    <x v="1"/>
    <s v="Blue"/>
    <x v="3"/>
    <x v="11"/>
    <n v="15"/>
    <x v="0"/>
    <n v="14"/>
    <n v="32"/>
    <n v="210"/>
    <n v="480"/>
    <n v="270"/>
    <n v="0.5625"/>
  </r>
  <r>
    <s v="T177"/>
    <x v="76"/>
    <x v="6"/>
    <x v="2"/>
    <s v="Brown"/>
    <x v="2"/>
    <x v="6"/>
    <n v="14"/>
    <x v="1"/>
    <n v="64"/>
    <n v="112"/>
    <n v="896"/>
    <n v="1568"/>
    <n v="672"/>
    <n v="0.42857142857142855"/>
  </r>
  <r>
    <s v="T178"/>
    <x v="77"/>
    <x v="1"/>
    <x v="0"/>
    <s v="Red"/>
    <x v="0"/>
    <x v="12"/>
    <n v="2"/>
    <x v="2"/>
    <n v="39"/>
    <n v="76"/>
    <n v="78"/>
    <n v="152"/>
    <n v="74"/>
    <n v="0.48684210526315791"/>
  </r>
  <r>
    <s v="T179"/>
    <x v="77"/>
    <x v="3"/>
    <x v="0"/>
    <s v="Green"/>
    <x v="4"/>
    <x v="11"/>
    <n v="5"/>
    <x v="3"/>
    <n v="47"/>
    <n v="89"/>
    <n v="235"/>
    <n v="445"/>
    <n v="210"/>
    <n v="0.47191011235955055"/>
  </r>
  <r>
    <s v="T180"/>
    <x v="78"/>
    <x v="7"/>
    <x v="1"/>
    <s v="Red"/>
    <x v="4"/>
    <x v="7"/>
    <n v="4"/>
    <x v="3"/>
    <n v="72"/>
    <n v="128"/>
    <n v="288"/>
    <n v="512"/>
    <n v="224"/>
    <n v="0.4375"/>
  </r>
  <r>
    <s v="T181"/>
    <x v="78"/>
    <x v="7"/>
    <x v="3"/>
    <s v="Green"/>
    <x v="0"/>
    <x v="5"/>
    <n v="13"/>
    <x v="3"/>
    <n v="72"/>
    <n v="128"/>
    <n v="936"/>
    <n v="1664"/>
    <n v="728"/>
    <n v="0.4375"/>
  </r>
  <r>
    <s v="T182"/>
    <x v="78"/>
    <x v="2"/>
    <x v="0"/>
    <s v="Black"/>
    <x v="3"/>
    <x v="13"/>
    <n v="3"/>
    <x v="3"/>
    <n v="28"/>
    <n v="54"/>
    <n v="84"/>
    <n v="162"/>
    <n v="78"/>
    <n v="0.48148148148148145"/>
  </r>
  <r>
    <s v="T183"/>
    <x v="78"/>
    <x v="4"/>
    <x v="1"/>
    <s v="Black"/>
    <x v="1"/>
    <x v="9"/>
    <n v="3"/>
    <x v="0"/>
    <n v="14"/>
    <n v="32"/>
    <n v="42"/>
    <n v="96"/>
    <n v="54"/>
    <n v="0.5625"/>
  </r>
  <r>
    <s v="T184"/>
    <x v="79"/>
    <x v="2"/>
    <x v="1"/>
    <s v="Black"/>
    <x v="2"/>
    <x v="0"/>
    <n v="6"/>
    <x v="1"/>
    <n v="28"/>
    <n v="54"/>
    <n v="168"/>
    <n v="324"/>
    <n v="156"/>
    <n v="0.48148148148148145"/>
  </r>
  <r>
    <s v="T185"/>
    <x v="79"/>
    <x v="0"/>
    <x v="3"/>
    <s v="Green"/>
    <x v="0"/>
    <x v="6"/>
    <n v="3"/>
    <x v="0"/>
    <n v="67"/>
    <n v="119"/>
    <n v="201"/>
    <n v="357"/>
    <n v="156"/>
    <n v="0.43697478991596639"/>
  </r>
  <r>
    <s v="T186"/>
    <x v="79"/>
    <x v="5"/>
    <x v="2"/>
    <s v="Brown"/>
    <x v="1"/>
    <x v="8"/>
    <n v="5"/>
    <x v="1"/>
    <n v="58"/>
    <n v="105"/>
    <n v="290"/>
    <n v="525"/>
    <n v="235"/>
    <n v="0.44761904761904764"/>
  </r>
  <r>
    <s v="T187"/>
    <x v="80"/>
    <x v="0"/>
    <x v="2"/>
    <s v="Green"/>
    <x v="2"/>
    <x v="8"/>
    <n v="14"/>
    <x v="3"/>
    <n v="67"/>
    <n v="119"/>
    <n v="938"/>
    <n v="1666"/>
    <n v="728"/>
    <n v="0.43697478991596639"/>
  </r>
  <r>
    <s v="T188"/>
    <x v="80"/>
    <x v="6"/>
    <x v="1"/>
    <s v="Black"/>
    <x v="4"/>
    <x v="3"/>
    <n v="10"/>
    <x v="3"/>
    <n v="64"/>
    <n v="112"/>
    <n v="640"/>
    <n v="1120"/>
    <n v="480"/>
    <n v="0.42857142857142855"/>
  </r>
  <r>
    <s v="T189"/>
    <x v="80"/>
    <x v="6"/>
    <x v="3"/>
    <s v="Blue"/>
    <x v="3"/>
    <x v="10"/>
    <n v="4"/>
    <x v="3"/>
    <n v="64"/>
    <n v="112"/>
    <n v="256"/>
    <n v="448"/>
    <n v="192"/>
    <n v="0.42857142857142855"/>
  </r>
  <r>
    <s v="T190"/>
    <x v="81"/>
    <x v="3"/>
    <x v="0"/>
    <s v="Blue"/>
    <x v="4"/>
    <x v="1"/>
    <n v="9"/>
    <x v="0"/>
    <n v="47"/>
    <n v="89"/>
    <n v="423"/>
    <n v="801"/>
    <n v="378"/>
    <n v="0.47191011235955055"/>
  </r>
  <r>
    <s v="T191"/>
    <x v="81"/>
    <x v="4"/>
    <x v="3"/>
    <s v="Green"/>
    <x v="2"/>
    <x v="1"/>
    <n v="7"/>
    <x v="0"/>
    <n v="14"/>
    <n v="32"/>
    <n v="98"/>
    <n v="224"/>
    <n v="126"/>
    <n v="0.5625"/>
  </r>
  <r>
    <s v="T192"/>
    <x v="81"/>
    <x v="7"/>
    <x v="1"/>
    <s v="Red"/>
    <x v="4"/>
    <x v="3"/>
    <n v="13"/>
    <x v="3"/>
    <n v="72"/>
    <n v="128"/>
    <n v="936"/>
    <n v="1664"/>
    <n v="728"/>
    <n v="0.4375"/>
  </r>
  <r>
    <s v="T193"/>
    <x v="81"/>
    <x v="5"/>
    <x v="0"/>
    <s v="Green"/>
    <x v="1"/>
    <x v="9"/>
    <n v="5"/>
    <x v="3"/>
    <n v="58"/>
    <n v="105"/>
    <n v="290"/>
    <n v="525"/>
    <n v="235"/>
    <n v="0.44761904761904764"/>
  </r>
  <r>
    <s v="T194"/>
    <x v="81"/>
    <x v="5"/>
    <x v="3"/>
    <s v="Black"/>
    <x v="0"/>
    <x v="11"/>
    <n v="11"/>
    <x v="0"/>
    <n v="58"/>
    <n v="105"/>
    <n v="638"/>
    <n v="1155"/>
    <n v="517"/>
    <n v="0.44761904761904764"/>
  </r>
  <r>
    <s v="T195"/>
    <x v="82"/>
    <x v="3"/>
    <x v="0"/>
    <s v="Black"/>
    <x v="0"/>
    <x v="2"/>
    <n v="5"/>
    <x v="1"/>
    <n v="47"/>
    <n v="89"/>
    <n v="235"/>
    <n v="445"/>
    <n v="210"/>
    <n v="0.47191011235955055"/>
  </r>
  <r>
    <s v="T196"/>
    <x v="82"/>
    <x v="2"/>
    <x v="2"/>
    <s v="Green"/>
    <x v="0"/>
    <x v="0"/>
    <n v="6"/>
    <x v="1"/>
    <n v="28"/>
    <n v="54"/>
    <n v="168"/>
    <n v="324"/>
    <n v="156"/>
    <n v="0.48148148148148145"/>
  </r>
  <r>
    <s v="T197"/>
    <x v="83"/>
    <x v="1"/>
    <x v="1"/>
    <s v="Green"/>
    <x v="2"/>
    <x v="6"/>
    <n v="4"/>
    <x v="1"/>
    <n v="39"/>
    <n v="76"/>
    <n v="156"/>
    <n v="304"/>
    <n v="148"/>
    <n v="0.48684210526315791"/>
  </r>
  <r>
    <s v="T198"/>
    <x v="83"/>
    <x v="3"/>
    <x v="2"/>
    <s v="Red"/>
    <x v="2"/>
    <x v="13"/>
    <n v="13"/>
    <x v="2"/>
    <n v="47"/>
    <n v="89"/>
    <n v="611"/>
    <n v="1157"/>
    <n v="546"/>
    <n v="0.47191011235955055"/>
  </r>
  <r>
    <s v="T199"/>
    <x v="83"/>
    <x v="1"/>
    <x v="1"/>
    <s v="Brown"/>
    <x v="0"/>
    <x v="3"/>
    <n v="4"/>
    <x v="2"/>
    <n v="39"/>
    <n v="76"/>
    <n v="156"/>
    <n v="304"/>
    <n v="148"/>
    <n v="0.48684210526315791"/>
  </r>
  <r>
    <s v="T200"/>
    <x v="83"/>
    <x v="0"/>
    <x v="0"/>
    <s v="Black"/>
    <x v="3"/>
    <x v="2"/>
    <n v="1"/>
    <x v="1"/>
    <n v="67"/>
    <n v="119"/>
    <n v="67"/>
    <n v="119"/>
    <n v="52"/>
    <n v="0.43697478991596639"/>
  </r>
  <r>
    <s v="T201"/>
    <x v="83"/>
    <x v="1"/>
    <x v="2"/>
    <s v="Brown"/>
    <x v="2"/>
    <x v="3"/>
    <n v="4"/>
    <x v="3"/>
    <n v="39"/>
    <n v="76"/>
    <n v="156"/>
    <n v="304"/>
    <n v="148"/>
    <n v="0.48684210526315791"/>
  </r>
  <r>
    <s v="T202"/>
    <x v="84"/>
    <x v="7"/>
    <x v="3"/>
    <s v="Blue"/>
    <x v="2"/>
    <x v="0"/>
    <n v="12"/>
    <x v="3"/>
    <n v="72"/>
    <n v="128"/>
    <n v="864"/>
    <n v="1536"/>
    <n v="672"/>
    <n v="0.4375"/>
  </r>
  <r>
    <s v="T203"/>
    <x v="84"/>
    <x v="3"/>
    <x v="1"/>
    <s v="Blue"/>
    <x v="1"/>
    <x v="8"/>
    <n v="10"/>
    <x v="1"/>
    <n v="47"/>
    <n v="89"/>
    <n v="470"/>
    <n v="890"/>
    <n v="420"/>
    <n v="0.47191011235955055"/>
  </r>
  <r>
    <s v="T204"/>
    <x v="85"/>
    <x v="6"/>
    <x v="2"/>
    <s v="Green"/>
    <x v="0"/>
    <x v="7"/>
    <n v="12"/>
    <x v="3"/>
    <n v="64"/>
    <n v="112"/>
    <n v="768"/>
    <n v="1344"/>
    <n v="576"/>
    <n v="0.42857142857142855"/>
  </r>
  <r>
    <s v="T205"/>
    <x v="86"/>
    <x v="0"/>
    <x v="1"/>
    <s v="Brown"/>
    <x v="2"/>
    <x v="8"/>
    <n v="4"/>
    <x v="0"/>
    <n v="67"/>
    <n v="119"/>
    <n v="268"/>
    <n v="476"/>
    <n v="208"/>
    <n v="0.43697478991596639"/>
  </r>
  <r>
    <s v="T206"/>
    <x v="86"/>
    <x v="3"/>
    <x v="1"/>
    <s v="Blue"/>
    <x v="4"/>
    <x v="3"/>
    <n v="5"/>
    <x v="0"/>
    <n v="47"/>
    <n v="89"/>
    <n v="235"/>
    <n v="445"/>
    <n v="210"/>
    <n v="0.47191011235955055"/>
  </r>
  <r>
    <s v="T207"/>
    <x v="86"/>
    <x v="6"/>
    <x v="1"/>
    <s v="Black"/>
    <x v="0"/>
    <x v="8"/>
    <n v="14"/>
    <x v="2"/>
    <n v="64"/>
    <n v="112"/>
    <n v="896"/>
    <n v="1568"/>
    <n v="672"/>
    <n v="0.42857142857142855"/>
  </r>
  <r>
    <s v="T208"/>
    <x v="87"/>
    <x v="5"/>
    <x v="1"/>
    <s v="Blue"/>
    <x v="4"/>
    <x v="6"/>
    <n v="14"/>
    <x v="0"/>
    <n v="58"/>
    <n v="105"/>
    <n v="812"/>
    <n v="1470"/>
    <n v="658"/>
    <n v="0.44761904761904764"/>
  </r>
  <r>
    <s v="T209"/>
    <x v="87"/>
    <x v="5"/>
    <x v="2"/>
    <s v="Red"/>
    <x v="0"/>
    <x v="8"/>
    <n v="10"/>
    <x v="1"/>
    <n v="58"/>
    <n v="105"/>
    <n v="580"/>
    <n v="1050"/>
    <n v="470"/>
    <n v="0.44761904761904764"/>
  </r>
  <r>
    <s v="T210"/>
    <x v="87"/>
    <x v="6"/>
    <x v="1"/>
    <s v="Red"/>
    <x v="4"/>
    <x v="12"/>
    <n v="6"/>
    <x v="1"/>
    <n v="64"/>
    <n v="112"/>
    <n v="384"/>
    <n v="672"/>
    <n v="288"/>
    <n v="0.42857142857142855"/>
  </r>
  <r>
    <s v="T211"/>
    <x v="88"/>
    <x v="4"/>
    <x v="2"/>
    <s v="Brown"/>
    <x v="1"/>
    <x v="2"/>
    <n v="3"/>
    <x v="3"/>
    <n v="14"/>
    <n v="32"/>
    <n v="42"/>
    <n v="96"/>
    <n v="54"/>
    <n v="0.5625"/>
  </r>
  <r>
    <s v="T212"/>
    <x v="89"/>
    <x v="4"/>
    <x v="2"/>
    <s v="Black"/>
    <x v="0"/>
    <x v="5"/>
    <n v="9"/>
    <x v="1"/>
    <n v="14"/>
    <n v="32"/>
    <n v="126"/>
    <n v="288"/>
    <n v="162"/>
    <n v="0.5625"/>
  </r>
  <r>
    <s v="T213"/>
    <x v="90"/>
    <x v="4"/>
    <x v="0"/>
    <s v="Black"/>
    <x v="3"/>
    <x v="4"/>
    <n v="14"/>
    <x v="1"/>
    <n v="14"/>
    <n v="32"/>
    <n v="196"/>
    <n v="448"/>
    <n v="252"/>
    <n v="0.5625"/>
  </r>
  <r>
    <s v="T214"/>
    <x v="90"/>
    <x v="5"/>
    <x v="0"/>
    <s v="Blue"/>
    <x v="0"/>
    <x v="9"/>
    <n v="4"/>
    <x v="1"/>
    <n v="58"/>
    <n v="105"/>
    <n v="232"/>
    <n v="420"/>
    <n v="188"/>
    <n v="0.44761904761904764"/>
  </r>
  <r>
    <s v="T215"/>
    <x v="90"/>
    <x v="3"/>
    <x v="0"/>
    <s v="Red"/>
    <x v="1"/>
    <x v="11"/>
    <n v="15"/>
    <x v="0"/>
    <n v="47"/>
    <n v="89"/>
    <n v="705"/>
    <n v="1335"/>
    <n v="630"/>
    <n v="0.47191011235955055"/>
  </r>
  <r>
    <s v="T216"/>
    <x v="90"/>
    <x v="0"/>
    <x v="1"/>
    <s v="Red"/>
    <x v="0"/>
    <x v="12"/>
    <n v="3"/>
    <x v="2"/>
    <n v="67"/>
    <n v="119"/>
    <n v="201"/>
    <n v="357"/>
    <n v="156"/>
    <n v="0.43697478991596639"/>
  </r>
  <r>
    <s v="T217"/>
    <x v="90"/>
    <x v="0"/>
    <x v="1"/>
    <s v="Green"/>
    <x v="1"/>
    <x v="13"/>
    <n v="7"/>
    <x v="3"/>
    <n v="67"/>
    <n v="119"/>
    <n v="469"/>
    <n v="833"/>
    <n v="364"/>
    <n v="0.43697478991596639"/>
  </r>
  <r>
    <s v="T218"/>
    <x v="91"/>
    <x v="1"/>
    <x v="3"/>
    <s v="Red"/>
    <x v="1"/>
    <x v="4"/>
    <n v="7"/>
    <x v="3"/>
    <n v="39"/>
    <n v="76"/>
    <n v="273"/>
    <n v="532"/>
    <n v="259"/>
    <n v="0.48684210526315791"/>
  </r>
  <r>
    <s v="T219"/>
    <x v="91"/>
    <x v="0"/>
    <x v="1"/>
    <s v="Blue"/>
    <x v="0"/>
    <x v="10"/>
    <n v="5"/>
    <x v="2"/>
    <n v="67"/>
    <n v="119"/>
    <n v="335"/>
    <n v="595"/>
    <n v="260"/>
    <n v="0.43697478991596639"/>
  </r>
  <r>
    <s v="T220"/>
    <x v="91"/>
    <x v="5"/>
    <x v="2"/>
    <s v="Brown"/>
    <x v="2"/>
    <x v="5"/>
    <n v="6"/>
    <x v="2"/>
    <n v="58"/>
    <n v="105"/>
    <n v="348"/>
    <n v="630"/>
    <n v="282"/>
    <n v="0.44761904761904764"/>
  </r>
  <r>
    <s v="T221"/>
    <x v="92"/>
    <x v="3"/>
    <x v="1"/>
    <s v="Blue"/>
    <x v="0"/>
    <x v="6"/>
    <n v="13"/>
    <x v="1"/>
    <n v="47"/>
    <n v="89"/>
    <n v="611"/>
    <n v="1157"/>
    <n v="546"/>
    <n v="0.47191011235955055"/>
  </r>
  <r>
    <s v="T222"/>
    <x v="92"/>
    <x v="3"/>
    <x v="0"/>
    <s v="Red"/>
    <x v="0"/>
    <x v="9"/>
    <n v="3"/>
    <x v="2"/>
    <n v="47"/>
    <n v="89"/>
    <n v="141"/>
    <n v="267"/>
    <n v="126"/>
    <n v="0.47191011235955055"/>
  </r>
  <r>
    <s v="T223"/>
    <x v="92"/>
    <x v="5"/>
    <x v="1"/>
    <s v="Brown"/>
    <x v="4"/>
    <x v="5"/>
    <n v="5"/>
    <x v="2"/>
    <n v="58"/>
    <n v="105"/>
    <n v="290"/>
    <n v="525"/>
    <n v="235"/>
    <n v="0.44761904761904764"/>
  </r>
  <r>
    <s v="T224"/>
    <x v="93"/>
    <x v="6"/>
    <x v="1"/>
    <s v="Green"/>
    <x v="4"/>
    <x v="13"/>
    <n v="13"/>
    <x v="1"/>
    <n v="64"/>
    <n v="112"/>
    <n v="832"/>
    <n v="1456"/>
    <n v="624"/>
    <n v="0.42857142857142855"/>
  </r>
  <r>
    <s v="T225"/>
    <x v="93"/>
    <x v="2"/>
    <x v="3"/>
    <s v="Red"/>
    <x v="4"/>
    <x v="5"/>
    <n v="3"/>
    <x v="1"/>
    <n v="28"/>
    <n v="54"/>
    <n v="84"/>
    <n v="162"/>
    <n v="78"/>
    <n v="0.48148148148148145"/>
  </r>
  <r>
    <s v="T226"/>
    <x v="94"/>
    <x v="3"/>
    <x v="1"/>
    <s v="Black"/>
    <x v="4"/>
    <x v="7"/>
    <n v="10"/>
    <x v="2"/>
    <n v="47"/>
    <n v="89"/>
    <n v="470"/>
    <n v="890"/>
    <n v="420"/>
    <n v="0.47191011235955055"/>
  </r>
  <r>
    <s v="T227"/>
    <x v="95"/>
    <x v="0"/>
    <x v="2"/>
    <s v="Red"/>
    <x v="3"/>
    <x v="11"/>
    <n v="6"/>
    <x v="3"/>
    <n v="67"/>
    <n v="119"/>
    <n v="402"/>
    <n v="714"/>
    <n v="312"/>
    <n v="0.43697478991596639"/>
  </r>
  <r>
    <s v="T228"/>
    <x v="96"/>
    <x v="7"/>
    <x v="1"/>
    <s v="Black"/>
    <x v="2"/>
    <x v="3"/>
    <n v="11"/>
    <x v="1"/>
    <n v="72"/>
    <n v="128"/>
    <n v="792"/>
    <n v="1408"/>
    <n v="616"/>
    <n v="0.4375"/>
  </r>
  <r>
    <s v="T229"/>
    <x v="96"/>
    <x v="0"/>
    <x v="1"/>
    <s v="Blue"/>
    <x v="0"/>
    <x v="0"/>
    <n v="5"/>
    <x v="1"/>
    <n v="67"/>
    <n v="119"/>
    <n v="335"/>
    <n v="595"/>
    <n v="260"/>
    <n v="0.43697478991596639"/>
  </r>
  <r>
    <s v="T230"/>
    <x v="96"/>
    <x v="1"/>
    <x v="2"/>
    <s v="Red"/>
    <x v="2"/>
    <x v="0"/>
    <n v="15"/>
    <x v="3"/>
    <n v="39"/>
    <n v="76"/>
    <n v="585"/>
    <n v="1140"/>
    <n v="555"/>
    <n v="0.48684210526315791"/>
  </r>
  <r>
    <s v="T231"/>
    <x v="96"/>
    <x v="1"/>
    <x v="0"/>
    <s v="Red"/>
    <x v="0"/>
    <x v="11"/>
    <n v="6"/>
    <x v="3"/>
    <n v="39"/>
    <n v="76"/>
    <n v="234"/>
    <n v="456"/>
    <n v="222"/>
    <n v="0.48684210526315791"/>
  </r>
  <r>
    <s v="T232"/>
    <x v="97"/>
    <x v="1"/>
    <x v="0"/>
    <s v="Brown"/>
    <x v="4"/>
    <x v="13"/>
    <n v="9"/>
    <x v="3"/>
    <n v="39"/>
    <n v="76"/>
    <n v="351"/>
    <n v="684"/>
    <n v="333"/>
    <n v="0.48684210526315791"/>
  </r>
  <r>
    <s v="T233"/>
    <x v="97"/>
    <x v="1"/>
    <x v="1"/>
    <s v="Brown"/>
    <x v="0"/>
    <x v="4"/>
    <n v="4"/>
    <x v="1"/>
    <n v="39"/>
    <n v="76"/>
    <n v="156"/>
    <n v="304"/>
    <n v="148"/>
    <n v="0.48684210526315791"/>
  </r>
  <r>
    <s v="T234"/>
    <x v="97"/>
    <x v="2"/>
    <x v="3"/>
    <s v="Green"/>
    <x v="2"/>
    <x v="2"/>
    <n v="1"/>
    <x v="1"/>
    <n v="28"/>
    <n v="54"/>
    <n v="28"/>
    <n v="54"/>
    <n v="26"/>
    <n v="0.48148148148148145"/>
  </r>
  <r>
    <s v="T235"/>
    <x v="97"/>
    <x v="1"/>
    <x v="1"/>
    <s v="Green"/>
    <x v="1"/>
    <x v="11"/>
    <n v="1"/>
    <x v="3"/>
    <n v="39"/>
    <n v="76"/>
    <n v="39"/>
    <n v="76"/>
    <n v="37"/>
    <n v="0.48684210526315791"/>
  </r>
  <r>
    <s v="T236"/>
    <x v="98"/>
    <x v="3"/>
    <x v="3"/>
    <s v="Green"/>
    <x v="4"/>
    <x v="5"/>
    <n v="7"/>
    <x v="3"/>
    <n v="47"/>
    <n v="89"/>
    <n v="329"/>
    <n v="623"/>
    <n v="294"/>
    <n v="0.47191011235955055"/>
  </r>
  <r>
    <s v="T237"/>
    <x v="98"/>
    <x v="1"/>
    <x v="1"/>
    <s v="Brown"/>
    <x v="0"/>
    <x v="1"/>
    <n v="8"/>
    <x v="3"/>
    <n v="39"/>
    <n v="76"/>
    <n v="312"/>
    <n v="608"/>
    <n v="296"/>
    <n v="0.48684210526315791"/>
  </r>
  <r>
    <s v="T238"/>
    <x v="99"/>
    <x v="6"/>
    <x v="1"/>
    <s v="Green"/>
    <x v="0"/>
    <x v="12"/>
    <n v="11"/>
    <x v="1"/>
    <n v="64"/>
    <n v="112"/>
    <n v="704"/>
    <n v="1232"/>
    <n v="528"/>
    <n v="0.42857142857142855"/>
  </r>
  <r>
    <s v="T239"/>
    <x v="99"/>
    <x v="4"/>
    <x v="3"/>
    <s v="Brown"/>
    <x v="3"/>
    <x v="1"/>
    <n v="5"/>
    <x v="0"/>
    <n v="14"/>
    <n v="32"/>
    <n v="70"/>
    <n v="160"/>
    <n v="90"/>
    <n v="0.5625"/>
  </r>
  <r>
    <s v="T240"/>
    <x v="100"/>
    <x v="4"/>
    <x v="1"/>
    <s v="Blue"/>
    <x v="1"/>
    <x v="0"/>
    <n v="4"/>
    <x v="1"/>
    <n v="14"/>
    <n v="32"/>
    <n v="56"/>
    <n v="128"/>
    <n v="72"/>
    <n v="0.5625"/>
  </r>
  <r>
    <s v="T241"/>
    <x v="100"/>
    <x v="7"/>
    <x v="0"/>
    <s v="Black"/>
    <x v="2"/>
    <x v="2"/>
    <n v="14"/>
    <x v="0"/>
    <n v="72"/>
    <n v="128"/>
    <n v="1008"/>
    <n v="1792"/>
    <n v="784"/>
    <n v="0.4375"/>
  </r>
  <r>
    <s v="T242"/>
    <x v="100"/>
    <x v="5"/>
    <x v="2"/>
    <s v="Brown"/>
    <x v="3"/>
    <x v="7"/>
    <n v="6"/>
    <x v="2"/>
    <n v="58"/>
    <n v="105"/>
    <n v="348"/>
    <n v="630"/>
    <n v="282"/>
    <n v="0.44761904761904764"/>
  </r>
  <r>
    <s v="T243"/>
    <x v="100"/>
    <x v="2"/>
    <x v="2"/>
    <s v="Blue"/>
    <x v="3"/>
    <x v="6"/>
    <n v="14"/>
    <x v="2"/>
    <n v="28"/>
    <n v="54"/>
    <n v="392"/>
    <n v="756"/>
    <n v="364"/>
    <n v="0.48148148148148145"/>
  </r>
  <r>
    <s v="T244"/>
    <x v="101"/>
    <x v="6"/>
    <x v="1"/>
    <s v="Red"/>
    <x v="0"/>
    <x v="9"/>
    <n v="10"/>
    <x v="2"/>
    <n v="64"/>
    <n v="112"/>
    <n v="640"/>
    <n v="1120"/>
    <n v="480"/>
    <n v="0.42857142857142855"/>
  </r>
  <r>
    <s v="T245"/>
    <x v="101"/>
    <x v="0"/>
    <x v="0"/>
    <s v="Red"/>
    <x v="0"/>
    <x v="3"/>
    <n v="8"/>
    <x v="3"/>
    <n v="67"/>
    <n v="119"/>
    <n v="536"/>
    <n v="952"/>
    <n v="416"/>
    <n v="0.43697478991596639"/>
  </r>
  <r>
    <s v="T246"/>
    <x v="102"/>
    <x v="5"/>
    <x v="3"/>
    <s v="Red"/>
    <x v="0"/>
    <x v="6"/>
    <n v="12"/>
    <x v="1"/>
    <n v="58"/>
    <n v="105"/>
    <n v="696"/>
    <n v="1260"/>
    <n v="564"/>
    <n v="0.44761904761904764"/>
  </r>
  <r>
    <s v="T247"/>
    <x v="103"/>
    <x v="2"/>
    <x v="3"/>
    <s v="Blue"/>
    <x v="3"/>
    <x v="6"/>
    <n v="6"/>
    <x v="2"/>
    <n v="28"/>
    <n v="54"/>
    <n v="168"/>
    <n v="324"/>
    <n v="156"/>
    <n v="0.48148148148148145"/>
  </r>
  <r>
    <s v="T248"/>
    <x v="103"/>
    <x v="4"/>
    <x v="0"/>
    <s v="Red"/>
    <x v="2"/>
    <x v="12"/>
    <n v="9"/>
    <x v="2"/>
    <n v="14"/>
    <n v="32"/>
    <n v="126"/>
    <n v="288"/>
    <n v="162"/>
    <n v="0.5625"/>
  </r>
  <r>
    <s v="T249"/>
    <x v="104"/>
    <x v="6"/>
    <x v="1"/>
    <s v="Brown"/>
    <x v="3"/>
    <x v="1"/>
    <n v="8"/>
    <x v="3"/>
    <n v="64"/>
    <n v="112"/>
    <n v="512"/>
    <n v="896"/>
    <n v="384"/>
    <n v="0.42857142857142855"/>
  </r>
  <r>
    <s v="T250"/>
    <x v="105"/>
    <x v="6"/>
    <x v="3"/>
    <s v="Black"/>
    <x v="3"/>
    <x v="13"/>
    <n v="10"/>
    <x v="2"/>
    <n v="64"/>
    <n v="112"/>
    <n v="640"/>
    <n v="1120"/>
    <n v="480"/>
    <n v="0.42857142857142855"/>
  </r>
  <r>
    <s v="T251"/>
    <x v="105"/>
    <x v="5"/>
    <x v="1"/>
    <s v="Red"/>
    <x v="2"/>
    <x v="4"/>
    <n v="2"/>
    <x v="3"/>
    <n v="58"/>
    <n v="105"/>
    <n v="116"/>
    <n v="210"/>
    <n v="94"/>
    <n v="0.44761904761904764"/>
  </r>
  <r>
    <s v="T252"/>
    <x v="105"/>
    <x v="7"/>
    <x v="0"/>
    <s v="Red"/>
    <x v="0"/>
    <x v="3"/>
    <n v="10"/>
    <x v="3"/>
    <n v="72"/>
    <n v="128"/>
    <n v="720"/>
    <n v="1280"/>
    <n v="560"/>
    <n v="0.4375"/>
  </r>
  <r>
    <s v="T253"/>
    <x v="105"/>
    <x v="3"/>
    <x v="3"/>
    <s v="Brown"/>
    <x v="0"/>
    <x v="3"/>
    <n v="11"/>
    <x v="2"/>
    <n v="47"/>
    <n v="89"/>
    <n v="517"/>
    <n v="979"/>
    <n v="462"/>
    <n v="0.47191011235955055"/>
  </r>
  <r>
    <s v="T254"/>
    <x v="105"/>
    <x v="6"/>
    <x v="2"/>
    <s v="Black"/>
    <x v="4"/>
    <x v="3"/>
    <n v="10"/>
    <x v="2"/>
    <n v="64"/>
    <n v="112"/>
    <n v="640"/>
    <n v="1120"/>
    <n v="480"/>
    <n v="0.42857142857142855"/>
  </r>
  <r>
    <s v="T255"/>
    <x v="105"/>
    <x v="7"/>
    <x v="0"/>
    <s v="Green"/>
    <x v="0"/>
    <x v="1"/>
    <n v="7"/>
    <x v="3"/>
    <n v="72"/>
    <n v="128"/>
    <n v="504"/>
    <n v="896"/>
    <n v="392"/>
    <n v="0.4375"/>
  </r>
  <r>
    <s v="T256"/>
    <x v="106"/>
    <x v="3"/>
    <x v="1"/>
    <s v="Red"/>
    <x v="2"/>
    <x v="11"/>
    <n v="15"/>
    <x v="0"/>
    <n v="47"/>
    <n v="89"/>
    <n v="705"/>
    <n v="1335"/>
    <n v="630"/>
    <n v="0.47191011235955055"/>
  </r>
  <r>
    <s v="T257"/>
    <x v="106"/>
    <x v="3"/>
    <x v="1"/>
    <s v="Green"/>
    <x v="2"/>
    <x v="6"/>
    <n v="6"/>
    <x v="3"/>
    <n v="47"/>
    <n v="89"/>
    <n v="282"/>
    <n v="534"/>
    <n v="252"/>
    <n v="0.47191011235955055"/>
  </r>
  <r>
    <s v="T258"/>
    <x v="106"/>
    <x v="4"/>
    <x v="0"/>
    <s v="Brown"/>
    <x v="0"/>
    <x v="12"/>
    <n v="3"/>
    <x v="3"/>
    <n v="14"/>
    <n v="32"/>
    <n v="42"/>
    <n v="96"/>
    <n v="54"/>
    <n v="0.5625"/>
  </r>
  <r>
    <s v="T259"/>
    <x v="106"/>
    <x v="2"/>
    <x v="2"/>
    <s v="Green"/>
    <x v="3"/>
    <x v="10"/>
    <n v="12"/>
    <x v="3"/>
    <n v="28"/>
    <n v="54"/>
    <n v="336"/>
    <n v="648"/>
    <n v="312"/>
    <n v="0.48148148148148145"/>
  </r>
  <r>
    <s v="T260"/>
    <x v="107"/>
    <x v="1"/>
    <x v="1"/>
    <s v="Red"/>
    <x v="0"/>
    <x v="4"/>
    <n v="13"/>
    <x v="2"/>
    <n v="39"/>
    <n v="76"/>
    <n v="507"/>
    <n v="988"/>
    <n v="481"/>
    <n v="0.48684210526315791"/>
  </r>
  <r>
    <s v="T261"/>
    <x v="108"/>
    <x v="6"/>
    <x v="1"/>
    <s v="Blue"/>
    <x v="0"/>
    <x v="5"/>
    <n v="6"/>
    <x v="1"/>
    <n v="64"/>
    <n v="112"/>
    <n v="384"/>
    <n v="672"/>
    <n v="288"/>
    <n v="0.42857142857142855"/>
  </r>
  <r>
    <s v="T262"/>
    <x v="108"/>
    <x v="6"/>
    <x v="2"/>
    <s v="Green"/>
    <x v="4"/>
    <x v="9"/>
    <n v="14"/>
    <x v="3"/>
    <n v="64"/>
    <n v="112"/>
    <n v="896"/>
    <n v="1568"/>
    <n v="672"/>
    <n v="0.42857142857142855"/>
  </r>
  <r>
    <s v="T263"/>
    <x v="109"/>
    <x v="3"/>
    <x v="2"/>
    <s v="Red"/>
    <x v="0"/>
    <x v="0"/>
    <n v="8"/>
    <x v="3"/>
    <n v="47"/>
    <n v="89"/>
    <n v="376"/>
    <n v="712"/>
    <n v="336"/>
    <n v="0.47191011235955055"/>
  </r>
  <r>
    <s v="T264"/>
    <x v="109"/>
    <x v="1"/>
    <x v="2"/>
    <s v="Red"/>
    <x v="4"/>
    <x v="7"/>
    <n v="6"/>
    <x v="0"/>
    <n v="39"/>
    <n v="76"/>
    <n v="234"/>
    <n v="456"/>
    <n v="222"/>
    <n v="0.48684210526315791"/>
  </r>
  <r>
    <s v="T265"/>
    <x v="109"/>
    <x v="4"/>
    <x v="0"/>
    <s v="Red"/>
    <x v="2"/>
    <x v="11"/>
    <n v="1"/>
    <x v="2"/>
    <n v="14"/>
    <n v="32"/>
    <n v="14"/>
    <n v="32"/>
    <n v="18"/>
    <n v="0.5625"/>
  </r>
  <r>
    <s v="T266"/>
    <x v="109"/>
    <x v="4"/>
    <x v="2"/>
    <s v="Black"/>
    <x v="2"/>
    <x v="3"/>
    <n v="13"/>
    <x v="3"/>
    <n v="14"/>
    <n v="32"/>
    <n v="182"/>
    <n v="416"/>
    <n v="234"/>
    <n v="0.5625"/>
  </r>
  <r>
    <s v="T267"/>
    <x v="110"/>
    <x v="7"/>
    <x v="3"/>
    <s v="Red"/>
    <x v="2"/>
    <x v="6"/>
    <n v="8"/>
    <x v="0"/>
    <n v="72"/>
    <n v="128"/>
    <n v="576"/>
    <n v="1024"/>
    <n v="448"/>
    <n v="0.4375"/>
  </r>
  <r>
    <s v="T268"/>
    <x v="110"/>
    <x v="5"/>
    <x v="1"/>
    <s v="Green"/>
    <x v="0"/>
    <x v="6"/>
    <n v="13"/>
    <x v="0"/>
    <n v="58"/>
    <n v="105"/>
    <n v="754"/>
    <n v="1365"/>
    <n v="611"/>
    <n v="0.44761904761904764"/>
  </r>
  <r>
    <s v="T269"/>
    <x v="110"/>
    <x v="1"/>
    <x v="1"/>
    <s v="Blue"/>
    <x v="0"/>
    <x v="3"/>
    <n v="5"/>
    <x v="1"/>
    <n v="39"/>
    <n v="76"/>
    <n v="195"/>
    <n v="380"/>
    <n v="185"/>
    <n v="0.48684210526315791"/>
  </r>
  <r>
    <s v="T270"/>
    <x v="110"/>
    <x v="5"/>
    <x v="2"/>
    <s v="Green"/>
    <x v="0"/>
    <x v="11"/>
    <n v="2"/>
    <x v="1"/>
    <n v="58"/>
    <n v="105"/>
    <n v="116"/>
    <n v="210"/>
    <n v="94"/>
    <n v="0.44761904761904764"/>
  </r>
  <r>
    <s v="T271"/>
    <x v="111"/>
    <x v="2"/>
    <x v="0"/>
    <s v="Brown"/>
    <x v="2"/>
    <x v="4"/>
    <n v="2"/>
    <x v="1"/>
    <n v="28"/>
    <n v="54"/>
    <n v="56"/>
    <n v="108"/>
    <n v="52"/>
    <n v="0.48148148148148145"/>
  </r>
  <r>
    <s v="T272"/>
    <x v="112"/>
    <x v="6"/>
    <x v="1"/>
    <s v="Red"/>
    <x v="4"/>
    <x v="2"/>
    <n v="4"/>
    <x v="1"/>
    <n v="64"/>
    <n v="112"/>
    <n v="256"/>
    <n v="448"/>
    <n v="192"/>
    <n v="0.42857142857142855"/>
  </r>
  <r>
    <s v="T273"/>
    <x v="113"/>
    <x v="4"/>
    <x v="2"/>
    <s v="Red"/>
    <x v="2"/>
    <x v="6"/>
    <n v="6"/>
    <x v="1"/>
    <n v="14"/>
    <n v="32"/>
    <n v="84"/>
    <n v="192"/>
    <n v="108"/>
    <n v="0.5625"/>
  </r>
  <r>
    <s v="T274"/>
    <x v="113"/>
    <x v="3"/>
    <x v="3"/>
    <s v="Blue"/>
    <x v="0"/>
    <x v="0"/>
    <n v="15"/>
    <x v="1"/>
    <n v="47"/>
    <n v="89"/>
    <n v="705"/>
    <n v="1335"/>
    <n v="630"/>
    <n v="0.47191011235955055"/>
  </r>
  <r>
    <s v="T275"/>
    <x v="114"/>
    <x v="5"/>
    <x v="0"/>
    <s v="Brown"/>
    <x v="2"/>
    <x v="6"/>
    <n v="13"/>
    <x v="0"/>
    <n v="58"/>
    <n v="105"/>
    <n v="754"/>
    <n v="1365"/>
    <n v="611"/>
    <n v="0.44761904761904764"/>
  </r>
  <r>
    <s v="T276"/>
    <x v="114"/>
    <x v="7"/>
    <x v="1"/>
    <s v="Blue"/>
    <x v="4"/>
    <x v="1"/>
    <n v="1"/>
    <x v="3"/>
    <n v="72"/>
    <n v="128"/>
    <n v="72"/>
    <n v="128"/>
    <n v="56"/>
    <n v="0.4375"/>
  </r>
  <r>
    <s v="T277"/>
    <x v="115"/>
    <x v="0"/>
    <x v="3"/>
    <s v="Brown"/>
    <x v="2"/>
    <x v="0"/>
    <n v="4"/>
    <x v="1"/>
    <n v="67"/>
    <n v="119"/>
    <n v="268"/>
    <n v="476"/>
    <n v="208"/>
    <n v="0.43697478991596639"/>
  </r>
  <r>
    <s v="T278"/>
    <x v="116"/>
    <x v="3"/>
    <x v="1"/>
    <s v="Green"/>
    <x v="0"/>
    <x v="13"/>
    <n v="12"/>
    <x v="0"/>
    <n v="47"/>
    <n v="89"/>
    <n v="564"/>
    <n v="1068"/>
    <n v="504"/>
    <n v="0.47191011235955055"/>
  </r>
  <r>
    <s v="T279"/>
    <x v="116"/>
    <x v="6"/>
    <x v="0"/>
    <s v="Black"/>
    <x v="1"/>
    <x v="7"/>
    <n v="10"/>
    <x v="1"/>
    <n v="64"/>
    <n v="112"/>
    <n v="640"/>
    <n v="1120"/>
    <n v="480"/>
    <n v="0.42857142857142855"/>
  </r>
  <r>
    <s v="T280"/>
    <x v="116"/>
    <x v="1"/>
    <x v="3"/>
    <s v="Red"/>
    <x v="0"/>
    <x v="4"/>
    <n v="10"/>
    <x v="1"/>
    <n v="39"/>
    <n v="76"/>
    <n v="390"/>
    <n v="760"/>
    <n v="370"/>
    <n v="0.48684210526315791"/>
  </r>
  <r>
    <s v="T281"/>
    <x v="117"/>
    <x v="6"/>
    <x v="1"/>
    <s v="Blue"/>
    <x v="0"/>
    <x v="1"/>
    <n v="13"/>
    <x v="2"/>
    <n v="64"/>
    <n v="112"/>
    <n v="832"/>
    <n v="1456"/>
    <n v="624"/>
    <n v="0.42857142857142855"/>
  </r>
  <r>
    <s v="T282"/>
    <x v="118"/>
    <x v="6"/>
    <x v="1"/>
    <s v="Green"/>
    <x v="2"/>
    <x v="13"/>
    <n v="2"/>
    <x v="3"/>
    <n v="64"/>
    <n v="112"/>
    <n v="128"/>
    <n v="224"/>
    <n v="96"/>
    <n v="0.42857142857142855"/>
  </r>
  <r>
    <s v="T283"/>
    <x v="118"/>
    <x v="7"/>
    <x v="0"/>
    <s v="Red"/>
    <x v="4"/>
    <x v="4"/>
    <n v="8"/>
    <x v="1"/>
    <n v="72"/>
    <n v="128"/>
    <n v="576"/>
    <n v="1024"/>
    <n v="448"/>
    <n v="0.4375"/>
  </r>
  <r>
    <s v="T284"/>
    <x v="119"/>
    <x v="5"/>
    <x v="3"/>
    <s v="Red"/>
    <x v="4"/>
    <x v="7"/>
    <n v="11"/>
    <x v="0"/>
    <n v="58"/>
    <n v="105"/>
    <n v="638"/>
    <n v="1155"/>
    <n v="517"/>
    <n v="0.44761904761904764"/>
  </r>
  <r>
    <s v="T285"/>
    <x v="119"/>
    <x v="7"/>
    <x v="1"/>
    <s v="Red"/>
    <x v="0"/>
    <x v="0"/>
    <n v="8"/>
    <x v="3"/>
    <n v="72"/>
    <n v="128"/>
    <n v="576"/>
    <n v="1024"/>
    <n v="448"/>
    <n v="0.4375"/>
  </r>
  <r>
    <s v="T286"/>
    <x v="120"/>
    <x v="1"/>
    <x v="3"/>
    <s v="Blue"/>
    <x v="0"/>
    <x v="7"/>
    <n v="8"/>
    <x v="2"/>
    <n v="39"/>
    <n v="76"/>
    <n v="312"/>
    <n v="608"/>
    <n v="296"/>
    <n v="0.48684210526315791"/>
  </r>
  <r>
    <s v="T287"/>
    <x v="120"/>
    <x v="3"/>
    <x v="2"/>
    <s v="Green"/>
    <x v="0"/>
    <x v="12"/>
    <n v="3"/>
    <x v="3"/>
    <n v="47"/>
    <n v="89"/>
    <n v="141"/>
    <n v="267"/>
    <n v="126"/>
    <n v="0.47191011235955055"/>
  </r>
  <r>
    <s v="T288"/>
    <x v="121"/>
    <x v="0"/>
    <x v="1"/>
    <s v="Green"/>
    <x v="0"/>
    <x v="12"/>
    <n v="9"/>
    <x v="0"/>
    <n v="67"/>
    <n v="119"/>
    <n v="603"/>
    <n v="1071"/>
    <n v="468"/>
    <n v="0.43697478991596639"/>
  </r>
  <r>
    <s v="T289"/>
    <x v="122"/>
    <x v="3"/>
    <x v="1"/>
    <s v="Red"/>
    <x v="4"/>
    <x v="6"/>
    <n v="7"/>
    <x v="3"/>
    <n v="47"/>
    <n v="89"/>
    <n v="329"/>
    <n v="623"/>
    <n v="294"/>
    <n v="0.47191011235955055"/>
  </r>
  <r>
    <s v="T290"/>
    <x v="122"/>
    <x v="3"/>
    <x v="3"/>
    <s v="Brown"/>
    <x v="0"/>
    <x v="11"/>
    <n v="14"/>
    <x v="2"/>
    <n v="47"/>
    <n v="89"/>
    <n v="658"/>
    <n v="1246"/>
    <n v="588"/>
    <n v="0.47191011235955055"/>
  </r>
  <r>
    <s v="T291"/>
    <x v="122"/>
    <x v="5"/>
    <x v="0"/>
    <s v="Red"/>
    <x v="0"/>
    <x v="5"/>
    <n v="4"/>
    <x v="3"/>
    <n v="58"/>
    <n v="105"/>
    <n v="232"/>
    <n v="420"/>
    <n v="188"/>
    <n v="0.44761904761904764"/>
  </r>
  <r>
    <s v="T292"/>
    <x v="123"/>
    <x v="0"/>
    <x v="0"/>
    <s v="Blue"/>
    <x v="0"/>
    <x v="8"/>
    <n v="1"/>
    <x v="1"/>
    <n v="67"/>
    <n v="119"/>
    <n v="67"/>
    <n v="119"/>
    <n v="52"/>
    <n v="0.43697478991596639"/>
  </r>
  <r>
    <s v="T293"/>
    <x v="123"/>
    <x v="1"/>
    <x v="1"/>
    <s v="Black"/>
    <x v="0"/>
    <x v="11"/>
    <n v="12"/>
    <x v="3"/>
    <n v="39"/>
    <n v="76"/>
    <n v="468"/>
    <n v="912"/>
    <n v="444"/>
    <n v="0.48684210526315791"/>
  </r>
  <r>
    <s v="T294"/>
    <x v="123"/>
    <x v="7"/>
    <x v="1"/>
    <s v="Green"/>
    <x v="0"/>
    <x v="9"/>
    <n v="8"/>
    <x v="0"/>
    <n v="72"/>
    <n v="128"/>
    <n v="576"/>
    <n v="1024"/>
    <n v="448"/>
    <n v="0.4375"/>
  </r>
  <r>
    <s v="T295"/>
    <x v="123"/>
    <x v="4"/>
    <x v="0"/>
    <s v="Blue"/>
    <x v="0"/>
    <x v="11"/>
    <n v="7"/>
    <x v="2"/>
    <n v="14"/>
    <n v="32"/>
    <n v="98"/>
    <n v="224"/>
    <n v="126"/>
    <n v="0.5625"/>
  </r>
  <r>
    <s v="T296"/>
    <x v="124"/>
    <x v="2"/>
    <x v="1"/>
    <s v="Green"/>
    <x v="3"/>
    <x v="13"/>
    <n v="8"/>
    <x v="0"/>
    <n v="28"/>
    <n v="54"/>
    <n v="224"/>
    <n v="432"/>
    <n v="208"/>
    <n v="0.48148148148148145"/>
  </r>
  <r>
    <s v="T297"/>
    <x v="124"/>
    <x v="4"/>
    <x v="0"/>
    <s v="Red"/>
    <x v="2"/>
    <x v="1"/>
    <n v="1"/>
    <x v="0"/>
    <n v="14"/>
    <n v="32"/>
    <n v="14"/>
    <n v="32"/>
    <n v="18"/>
    <n v="0.5625"/>
  </r>
  <r>
    <s v="T298"/>
    <x v="125"/>
    <x v="6"/>
    <x v="0"/>
    <s v="Brown"/>
    <x v="1"/>
    <x v="12"/>
    <n v="15"/>
    <x v="1"/>
    <n v="64"/>
    <n v="112"/>
    <n v="960"/>
    <n v="1680"/>
    <n v="720"/>
    <n v="0.42857142857142855"/>
  </r>
  <r>
    <s v="T299"/>
    <x v="125"/>
    <x v="1"/>
    <x v="2"/>
    <s v="Red"/>
    <x v="1"/>
    <x v="1"/>
    <n v="6"/>
    <x v="3"/>
    <n v="39"/>
    <n v="76"/>
    <n v="234"/>
    <n v="456"/>
    <n v="222"/>
    <n v="0.48684210526315791"/>
  </r>
  <r>
    <s v="T300"/>
    <x v="125"/>
    <x v="6"/>
    <x v="1"/>
    <s v="Red"/>
    <x v="0"/>
    <x v="9"/>
    <n v="9"/>
    <x v="2"/>
    <n v="64"/>
    <n v="112"/>
    <n v="576"/>
    <n v="1008"/>
    <n v="432"/>
    <n v="0.42857142857142855"/>
  </r>
  <r>
    <s v="T301"/>
    <x v="126"/>
    <x v="6"/>
    <x v="1"/>
    <s v="Green"/>
    <x v="1"/>
    <x v="13"/>
    <n v="10"/>
    <x v="3"/>
    <n v="64"/>
    <n v="112"/>
    <n v="640"/>
    <n v="1120"/>
    <n v="480"/>
    <n v="0.42857142857142855"/>
  </r>
  <r>
    <s v="T302"/>
    <x v="127"/>
    <x v="2"/>
    <x v="0"/>
    <s v="Black"/>
    <x v="1"/>
    <x v="1"/>
    <n v="10"/>
    <x v="3"/>
    <n v="28"/>
    <n v="54"/>
    <n v="280"/>
    <n v="540"/>
    <n v="260"/>
    <n v="0.48148148148148145"/>
  </r>
  <r>
    <s v="T303"/>
    <x v="127"/>
    <x v="3"/>
    <x v="1"/>
    <s v="Black"/>
    <x v="4"/>
    <x v="0"/>
    <n v="5"/>
    <x v="0"/>
    <n v="47"/>
    <n v="89"/>
    <n v="235"/>
    <n v="445"/>
    <n v="210"/>
    <n v="0.47191011235955055"/>
  </r>
  <r>
    <s v="T304"/>
    <x v="127"/>
    <x v="3"/>
    <x v="1"/>
    <s v="Green"/>
    <x v="2"/>
    <x v="11"/>
    <n v="9"/>
    <x v="1"/>
    <n v="47"/>
    <n v="89"/>
    <n v="423"/>
    <n v="801"/>
    <n v="378"/>
    <n v="0.47191011235955055"/>
  </r>
  <r>
    <s v="T305"/>
    <x v="128"/>
    <x v="4"/>
    <x v="0"/>
    <s v="Black"/>
    <x v="0"/>
    <x v="8"/>
    <n v="9"/>
    <x v="3"/>
    <n v="14"/>
    <n v="32"/>
    <n v="126"/>
    <n v="288"/>
    <n v="162"/>
    <n v="0.5625"/>
  </r>
  <r>
    <s v="T306"/>
    <x v="128"/>
    <x v="6"/>
    <x v="1"/>
    <s v="Brown"/>
    <x v="0"/>
    <x v="13"/>
    <n v="6"/>
    <x v="3"/>
    <n v="64"/>
    <n v="112"/>
    <n v="384"/>
    <n v="672"/>
    <n v="288"/>
    <n v="0.42857142857142855"/>
  </r>
  <r>
    <s v="T307"/>
    <x v="129"/>
    <x v="5"/>
    <x v="3"/>
    <s v="Blue"/>
    <x v="0"/>
    <x v="0"/>
    <n v="10"/>
    <x v="1"/>
    <n v="58"/>
    <n v="105"/>
    <n v="580"/>
    <n v="1050"/>
    <n v="470"/>
    <n v="0.44761904761904764"/>
  </r>
  <r>
    <s v="T308"/>
    <x v="129"/>
    <x v="7"/>
    <x v="1"/>
    <s v="Green"/>
    <x v="4"/>
    <x v="13"/>
    <n v="11"/>
    <x v="2"/>
    <n v="72"/>
    <n v="128"/>
    <n v="792"/>
    <n v="1408"/>
    <n v="616"/>
    <n v="0.4375"/>
  </r>
  <r>
    <s v="T309"/>
    <x v="130"/>
    <x v="3"/>
    <x v="1"/>
    <s v="Brown"/>
    <x v="0"/>
    <x v="9"/>
    <n v="4"/>
    <x v="0"/>
    <n v="47"/>
    <n v="89"/>
    <n v="188"/>
    <n v="356"/>
    <n v="168"/>
    <n v="0.47191011235955055"/>
  </r>
  <r>
    <s v="T310"/>
    <x v="131"/>
    <x v="1"/>
    <x v="2"/>
    <s v="Red"/>
    <x v="2"/>
    <x v="1"/>
    <n v="7"/>
    <x v="1"/>
    <n v="39"/>
    <n v="76"/>
    <n v="273"/>
    <n v="532"/>
    <n v="259"/>
    <n v="0.48684210526315791"/>
  </r>
  <r>
    <s v="T311"/>
    <x v="131"/>
    <x v="6"/>
    <x v="3"/>
    <s v="Red"/>
    <x v="3"/>
    <x v="3"/>
    <n v="7"/>
    <x v="1"/>
    <n v="64"/>
    <n v="112"/>
    <n v="448"/>
    <n v="784"/>
    <n v="336"/>
    <n v="0.42857142857142855"/>
  </r>
  <r>
    <s v="T312"/>
    <x v="132"/>
    <x v="7"/>
    <x v="1"/>
    <s v="Green"/>
    <x v="3"/>
    <x v="11"/>
    <n v="3"/>
    <x v="3"/>
    <n v="72"/>
    <n v="128"/>
    <n v="216"/>
    <n v="384"/>
    <n v="168"/>
    <n v="0.4375"/>
  </r>
  <r>
    <s v="T313"/>
    <x v="132"/>
    <x v="3"/>
    <x v="1"/>
    <s v="Red"/>
    <x v="1"/>
    <x v="8"/>
    <n v="13"/>
    <x v="0"/>
    <n v="47"/>
    <n v="89"/>
    <n v="611"/>
    <n v="1157"/>
    <n v="546"/>
    <n v="0.47191011235955055"/>
  </r>
  <r>
    <s v="T314"/>
    <x v="132"/>
    <x v="4"/>
    <x v="1"/>
    <s v="Green"/>
    <x v="0"/>
    <x v="4"/>
    <n v="7"/>
    <x v="3"/>
    <n v="14"/>
    <n v="32"/>
    <n v="98"/>
    <n v="224"/>
    <n v="126"/>
    <n v="0.5625"/>
  </r>
  <r>
    <s v="T315"/>
    <x v="133"/>
    <x v="1"/>
    <x v="1"/>
    <s v="Green"/>
    <x v="4"/>
    <x v="11"/>
    <n v="9"/>
    <x v="3"/>
    <n v="39"/>
    <n v="76"/>
    <n v="351"/>
    <n v="684"/>
    <n v="333"/>
    <n v="0.48684210526315791"/>
  </r>
  <r>
    <s v="T316"/>
    <x v="133"/>
    <x v="7"/>
    <x v="1"/>
    <s v="Blue"/>
    <x v="2"/>
    <x v="5"/>
    <n v="7"/>
    <x v="1"/>
    <n v="72"/>
    <n v="128"/>
    <n v="504"/>
    <n v="896"/>
    <n v="392"/>
    <n v="0.4375"/>
  </r>
  <r>
    <s v="T317"/>
    <x v="133"/>
    <x v="2"/>
    <x v="1"/>
    <s v="Red"/>
    <x v="0"/>
    <x v="5"/>
    <n v="10"/>
    <x v="3"/>
    <n v="28"/>
    <n v="54"/>
    <n v="280"/>
    <n v="540"/>
    <n v="260"/>
    <n v="0.48148148148148145"/>
  </r>
  <r>
    <s v="T318"/>
    <x v="133"/>
    <x v="4"/>
    <x v="1"/>
    <s v="Brown"/>
    <x v="2"/>
    <x v="5"/>
    <n v="8"/>
    <x v="2"/>
    <n v="14"/>
    <n v="32"/>
    <n v="112"/>
    <n v="256"/>
    <n v="144"/>
    <n v="0.5625"/>
  </r>
  <r>
    <s v="T319"/>
    <x v="134"/>
    <x v="1"/>
    <x v="1"/>
    <s v="Blue"/>
    <x v="1"/>
    <x v="5"/>
    <n v="9"/>
    <x v="0"/>
    <n v="39"/>
    <n v="76"/>
    <n v="351"/>
    <n v="684"/>
    <n v="333"/>
    <n v="0.48684210526315791"/>
  </r>
  <r>
    <s v="T320"/>
    <x v="134"/>
    <x v="7"/>
    <x v="1"/>
    <s v="Brown"/>
    <x v="0"/>
    <x v="8"/>
    <n v="8"/>
    <x v="3"/>
    <n v="72"/>
    <n v="128"/>
    <n v="576"/>
    <n v="1024"/>
    <n v="448"/>
    <n v="0.4375"/>
  </r>
  <r>
    <s v="T321"/>
    <x v="135"/>
    <x v="7"/>
    <x v="3"/>
    <s v="Black"/>
    <x v="1"/>
    <x v="3"/>
    <n v="2"/>
    <x v="0"/>
    <n v="72"/>
    <n v="128"/>
    <n v="144"/>
    <n v="256"/>
    <n v="112"/>
    <n v="0.4375"/>
  </r>
  <r>
    <s v="T322"/>
    <x v="135"/>
    <x v="6"/>
    <x v="1"/>
    <s v="Green"/>
    <x v="1"/>
    <x v="0"/>
    <n v="8"/>
    <x v="1"/>
    <n v="64"/>
    <n v="112"/>
    <n v="512"/>
    <n v="896"/>
    <n v="384"/>
    <n v="0.42857142857142855"/>
  </r>
  <r>
    <s v="T323"/>
    <x v="135"/>
    <x v="0"/>
    <x v="1"/>
    <s v="Brown"/>
    <x v="2"/>
    <x v="13"/>
    <n v="8"/>
    <x v="1"/>
    <n v="67"/>
    <n v="119"/>
    <n v="536"/>
    <n v="952"/>
    <n v="416"/>
    <n v="0.43697478991596639"/>
  </r>
  <r>
    <s v="T324"/>
    <x v="135"/>
    <x v="0"/>
    <x v="2"/>
    <s v="Blue"/>
    <x v="1"/>
    <x v="0"/>
    <n v="5"/>
    <x v="0"/>
    <n v="67"/>
    <n v="119"/>
    <n v="335"/>
    <n v="595"/>
    <n v="260"/>
    <n v="0.43697478991596639"/>
  </r>
  <r>
    <s v="T325"/>
    <x v="135"/>
    <x v="5"/>
    <x v="1"/>
    <s v="Green"/>
    <x v="1"/>
    <x v="13"/>
    <n v="3"/>
    <x v="3"/>
    <n v="58"/>
    <n v="105"/>
    <n v="174"/>
    <n v="315"/>
    <n v="141"/>
    <n v="0.44761904761904764"/>
  </r>
  <r>
    <s v="T326"/>
    <x v="135"/>
    <x v="0"/>
    <x v="0"/>
    <s v="Brown"/>
    <x v="3"/>
    <x v="8"/>
    <n v="7"/>
    <x v="1"/>
    <n v="67"/>
    <n v="119"/>
    <n v="469"/>
    <n v="833"/>
    <n v="364"/>
    <n v="0.43697478991596639"/>
  </r>
  <r>
    <s v="T327"/>
    <x v="135"/>
    <x v="2"/>
    <x v="1"/>
    <s v="Red"/>
    <x v="2"/>
    <x v="1"/>
    <n v="6"/>
    <x v="0"/>
    <n v="28"/>
    <n v="54"/>
    <n v="168"/>
    <n v="324"/>
    <n v="156"/>
    <n v="0.48148148148148145"/>
  </r>
  <r>
    <s v="T328"/>
    <x v="135"/>
    <x v="5"/>
    <x v="1"/>
    <s v="Red"/>
    <x v="0"/>
    <x v="1"/>
    <n v="15"/>
    <x v="3"/>
    <n v="58"/>
    <n v="105"/>
    <n v="870"/>
    <n v="1575"/>
    <n v="705"/>
    <n v="0.44761904761904764"/>
  </r>
  <r>
    <s v="T329"/>
    <x v="135"/>
    <x v="0"/>
    <x v="2"/>
    <s v="Green"/>
    <x v="2"/>
    <x v="11"/>
    <n v="4"/>
    <x v="3"/>
    <n v="67"/>
    <n v="119"/>
    <n v="268"/>
    <n v="476"/>
    <n v="208"/>
    <n v="0.43697478991596639"/>
  </r>
  <r>
    <s v="T330"/>
    <x v="136"/>
    <x v="5"/>
    <x v="1"/>
    <s v="Red"/>
    <x v="1"/>
    <x v="9"/>
    <n v="13"/>
    <x v="3"/>
    <n v="58"/>
    <n v="105"/>
    <n v="754"/>
    <n v="1365"/>
    <n v="611"/>
    <n v="0.44761904761904764"/>
  </r>
  <r>
    <s v="T331"/>
    <x v="136"/>
    <x v="1"/>
    <x v="1"/>
    <s v="Red"/>
    <x v="0"/>
    <x v="1"/>
    <n v="11"/>
    <x v="3"/>
    <n v="39"/>
    <n v="76"/>
    <n v="429"/>
    <n v="836"/>
    <n v="407"/>
    <n v="0.48684210526315791"/>
  </r>
  <r>
    <s v="T332"/>
    <x v="137"/>
    <x v="5"/>
    <x v="3"/>
    <s v="Green"/>
    <x v="0"/>
    <x v="1"/>
    <n v="8"/>
    <x v="2"/>
    <n v="58"/>
    <n v="105"/>
    <n v="464"/>
    <n v="840"/>
    <n v="376"/>
    <n v="0.44761904761904764"/>
  </r>
  <r>
    <s v="T333"/>
    <x v="137"/>
    <x v="7"/>
    <x v="1"/>
    <s v="Green"/>
    <x v="4"/>
    <x v="8"/>
    <n v="4"/>
    <x v="0"/>
    <n v="72"/>
    <n v="128"/>
    <n v="288"/>
    <n v="512"/>
    <n v="224"/>
    <n v="0.4375"/>
  </r>
  <r>
    <s v="T334"/>
    <x v="137"/>
    <x v="2"/>
    <x v="3"/>
    <s v="Red"/>
    <x v="0"/>
    <x v="5"/>
    <n v="6"/>
    <x v="1"/>
    <n v="28"/>
    <n v="54"/>
    <n v="168"/>
    <n v="324"/>
    <n v="156"/>
    <n v="0.48148148148148145"/>
  </r>
  <r>
    <s v="T335"/>
    <x v="138"/>
    <x v="0"/>
    <x v="0"/>
    <s v="Green"/>
    <x v="0"/>
    <x v="2"/>
    <n v="15"/>
    <x v="0"/>
    <n v="67"/>
    <n v="119"/>
    <n v="1005"/>
    <n v="1785"/>
    <n v="780"/>
    <n v="0.43697478991596639"/>
  </r>
  <r>
    <s v="T336"/>
    <x v="138"/>
    <x v="7"/>
    <x v="1"/>
    <s v="Black"/>
    <x v="2"/>
    <x v="3"/>
    <n v="14"/>
    <x v="0"/>
    <n v="72"/>
    <n v="128"/>
    <n v="1008"/>
    <n v="1792"/>
    <n v="784"/>
    <n v="0.4375"/>
  </r>
  <r>
    <s v="T337"/>
    <x v="138"/>
    <x v="2"/>
    <x v="1"/>
    <s v="Brown"/>
    <x v="4"/>
    <x v="3"/>
    <n v="15"/>
    <x v="3"/>
    <n v="28"/>
    <n v="54"/>
    <n v="420"/>
    <n v="810"/>
    <n v="390"/>
    <n v="0.48148148148148145"/>
  </r>
  <r>
    <s v="T338"/>
    <x v="139"/>
    <x v="6"/>
    <x v="1"/>
    <s v="Brown"/>
    <x v="2"/>
    <x v="8"/>
    <n v="8"/>
    <x v="2"/>
    <n v="64"/>
    <n v="112"/>
    <n v="512"/>
    <n v="896"/>
    <n v="384"/>
    <n v="0.42857142857142855"/>
  </r>
  <r>
    <s v="T339"/>
    <x v="139"/>
    <x v="3"/>
    <x v="1"/>
    <s v="Green"/>
    <x v="4"/>
    <x v="7"/>
    <n v="10"/>
    <x v="3"/>
    <n v="47"/>
    <n v="89"/>
    <n v="470"/>
    <n v="890"/>
    <n v="420"/>
    <n v="0.47191011235955055"/>
  </r>
  <r>
    <s v="T340"/>
    <x v="139"/>
    <x v="2"/>
    <x v="1"/>
    <s v="Black"/>
    <x v="0"/>
    <x v="5"/>
    <n v="7"/>
    <x v="3"/>
    <n v="28"/>
    <n v="54"/>
    <n v="196"/>
    <n v="378"/>
    <n v="182"/>
    <n v="0.48148148148148145"/>
  </r>
  <r>
    <s v="T341"/>
    <x v="140"/>
    <x v="3"/>
    <x v="3"/>
    <s v="Green"/>
    <x v="3"/>
    <x v="11"/>
    <n v="11"/>
    <x v="2"/>
    <n v="47"/>
    <n v="89"/>
    <n v="517"/>
    <n v="979"/>
    <n v="462"/>
    <n v="0.47191011235955055"/>
  </r>
  <r>
    <s v="T342"/>
    <x v="140"/>
    <x v="0"/>
    <x v="0"/>
    <s v="Green"/>
    <x v="0"/>
    <x v="10"/>
    <n v="13"/>
    <x v="3"/>
    <n v="67"/>
    <n v="119"/>
    <n v="871"/>
    <n v="1547"/>
    <n v="676"/>
    <n v="0.43697478991596639"/>
  </r>
  <r>
    <s v="T343"/>
    <x v="141"/>
    <x v="4"/>
    <x v="1"/>
    <s v="Green"/>
    <x v="3"/>
    <x v="6"/>
    <n v="5"/>
    <x v="1"/>
    <n v="14"/>
    <n v="32"/>
    <n v="70"/>
    <n v="160"/>
    <n v="90"/>
    <n v="0.5625"/>
  </r>
  <r>
    <s v="T344"/>
    <x v="142"/>
    <x v="6"/>
    <x v="3"/>
    <s v="Green"/>
    <x v="0"/>
    <x v="5"/>
    <n v="7"/>
    <x v="2"/>
    <n v="64"/>
    <n v="112"/>
    <n v="448"/>
    <n v="784"/>
    <n v="336"/>
    <n v="0.42857142857142855"/>
  </r>
  <r>
    <s v="T345"/>
    <x v="142"/>
    <x v="5"/>
    <x v="1"/>
    <s v="Black"/>
    <x v="0"/>
    <x v="3"/>
    <n v="15"/>
    <x v="2"/>
    <n v="58"/>
    <n v="105"/>
    <n v="870"/>
    <n v="1575"/>
    <n v="705"/>
    <n v="0.44761904761904764"/>
  </r>
  <r>
    <s v="T346"/>
    <x v="142"/>
    <x v="6"/>
    <x v="0"/>
    <s v="Brown"/>
    <x v="4"/>
    <x v="8"/>
    <n v="14"/>
    <x v="3"/>
    <n v="64"/>
    <n v="112"/>
    <n v="896"/>
    <n v="1568"/>
    <n v="672"/>
    <n v="0.42857142857142855"/>
  </r>
  <r>
    <s v="T347"/>
    <x v="142"/>
    <x v="1"/>
    <x v="0"/>
    <s v="Blue"/>
    <x v="4"/>
    <x v="7"/>
    <n v="6"/>
    <x v="3"/>
    <n v="39"/>
    <n v="76"/>
    <n v="234"/>
    <n v="456"/>
    <n v="222"/>
    <n v="0.48684210526315791"/>
  </r>
  <r>
    <s v="T348"/>
    <x v="143"/>
    <x v="6"/>
    <x v="0"/>
    <s v="Blue"/>
    <x v="0"/>
    <x v="11"/>
    <n v="14"/>
    <x v="1"/>
    <n v="64"/>
    <n v="112"/>
    <n v="896"/>
    <n v="1568"/>
    <n v="672"/>
    <n v="0.42857142857142855"/>
  </r>
  <r>
    <s v="T349"/>
    <x v="143"/>
    <x v="2"/>
    <x v="3"/>
    <s v="Brown"/>
    <x v="2"/>
    <x v="13"/>
    <n v="1"/>
    <x v="0"/>
    <n v="28"/>
    <n v="54"/>
    <n v="28"/>
    <n v="54"/>
    <n v="26"/>
    <n v="0.48148148148148145"/>
  </r>
  <r>
    <s v="T350"/>
    <x v="144"/>
    <x v="7"/>
    <x v="0"/>
    <s v="Green"/>
    <x v="0"/>
    <x v="4"/>
    <n v="5"/>
    <x v="2"/>
    <n v="72"/>
    <n v="128"/>
    <n v="360"/>
    <n v="640"/>
    <n v="280"/>
    <n v="0.4375"/>
  </r>
  <r>
    <s v="T351"/>
    <x v="145"/>
    <x v="7"/>
    <x v="1"/>
    <s v="Blue"/>
    <x v="0"/>
    <x v="7"/>
    <n v="15"/>
    <x v="1"/>
    <n v="72"/>
    <n v="128"/>
    <n v="1080"/>
    <n v="1920"/>
    <n v="840"/>
    <n v="0.4375"/>
  </r>
  <r>
    <s v="T352"/>
    <x v="145"/>
    <x v="4"/>
    <x v="1"/>
    <s v="Green"/>
    <x v="2"/>
    <x v="0"/>
    <n v="15"/>
    <x v="3"/>
    <n v="14"/>
    <n v="32"/>
    <n v="210"/>
    <n v="480"/>
    <n v="270"/>
    <n v="0.5625"/>
  </r>
  <r>
    <s v="T353"/>
    <x v="145"/>
    <x v="3"/>
    <x v="3"/>
    <s v="Black"/>
    <x v="3"/>
    <x v="6"/>
    <n v="9"/>
    <x v="1"/>
    <n v="47"/>
    <n v="89"/>
    <n v="423"/>
    <n v="801"/>
    <n v="378"/>
    <n v="0.47191011235955055"/>
  </r>
  <r>
    <s v="T354"/>
    <x v="145"/>
    <x v="3"/>
    <x v="3"/>
    <s v="Black"/>
    <x v="4"/>
    <x v="3"/>
    <n v="14"/>
    <x v="0"/>
    <n v="47"/>
    <n v="89"/>
    <n v="658"/>
    <n v="1246"/>
    <n v="588"/>
    <n v="0.47191011235955055"/>
  </r>
  <r>
    <s v="T355"/>
    <x v="146"/>
    <x v="0"/>
    <x v="3"/>
    <s v="Black"/>
    <x v="0"/>
    <x v="5"/>
    <n v="10"/>
    <x v="1"/>
    <n v="67"/>
    <n v="119"/>
    <n v="670"/>
    <n v="1190"/>
    <n v="520"/>
    <n v="0.43697478991596639"/>
  </r>
  <r>
    <s v="T356"/>
    <x v="146"/>
    <x v="2"/>
    <x v="1"/>
    <s v="Red"/>
    <x v="0"/>
    <x v="11"/>
    <n v="10"/>
    <x v="2"/>
    <n v="28"/>
    <n v="54"/>
    <n v="280"/>
    <n v="540"/>
    <n v="260"/>
    <n v="0.48148148148148145"/>
  </r>
  <r>
    <s v="T357"/>
    <x v="146"/>
    <x v="1"/>
    <x v="1"/>
    <s v="Green"/>
    <x v="2"/>
    <x v="4"/>
    <n v="13"/>
    <x v="2"/>
    <n v="39"/>
    <n v="76"/>
    <n v="507"/>
    <n v="988"/>
    <n v="481"/>
    <n v="0.48684210526315791"/>
  </r>
  <r>
    <s v="T358"/>
    <x v="146"/>
    <x v="4"/>
    <x v="1"/>
    <s v="Brown"/>
    <x v="0"/>
    <x v="12"/>
    <n v="10"/>
    <x v="0"/>
    <n v="14"/>
    <n v="32"/>
    <n v="140"/>
    <n v="320"/>
    <n v="180"/>
    <n v="0.5625"/>
  </r>
  <r>
    <s v="T359"/>
    <x v="146"/>
    <x v="0"/>
    <x v="2"/>
    <s v="Brown"/>
    <x v="2"/>
    <x v="11"/>
    <n v="6"/>
    <x v="1"/>
    <n v="67"/>
    <n v="119"/>
    <n v="402"/>
    <n v="714"/>
    <n v="312"/>
    <n v="0.43697478991596639"/>
  </r>
  <r>
    <s v="T360"/>
    <x v="146"/>
    <x v="5"/>
    <x v="0"/>
    <s v="Blue"/>
    <x v="4"/>
    <x v="5"/>
    <n v="8"/>
    <x v="0"/>
    <n v="58"/>
    <n v="105"/>
    <n v="464"/>
    <n v="840"/>
    <n v="376"/>
    <n v="0.44761904761904764"/>
  </r>
  <r>
    <s v="T361"/>
    <x v="147"/>
    <x v="5"/>
    <x v="3"/>
    <s v="Brown"/>
    <x v="0"/>
    <x v="2"/>
    <n v="2"/>
    <x v="0"/>
    <n v="58"/>
    <n v="105"/>
    <n v="116"/>
    <n v="210"/>
    <n v="94"/>
    <n v="0.44761904761904764"/>
  </r>
  <r>
    <s v="T362"/>
    <x v="147"/>
    <x v="2"/>
    <x v="1"/>
    <s v="Blue"/>
    <x v="2"/>
    <x v="9"/>
    <n v="11"/>
    <x v="2"/>
    <n v="28"/>
    <n v="54"/>
    <n v="308"/>
    <n v="594"/>
    <n v="286"/>
    <n v="0.48148148148148145"/>
  </r>
  <r>
    <s v="T363"/>
    <x v="148"/>
    <x v="5"/>
    <x v="1"/>
    <s v="Blue"/>
    <x v="4"/>
    <x v="11"/>
    <n v="10"/>
    <x v="0"/>
    <n v="58"/>
    <n v="105"/>
    <n v="580"/>
    <n v="1050"/>
    <n v="470"/>
    <n v="0.44761904761904764"/>
  </r>
  <r>
    <s v="T364"/>
    <x v="148"/>
    <x v="5"/>
    <x v="1"/>
    <s v="Black"/>
    <x v="0"/>
    <x v="13"/>
    <n v="13"/>
    <x v="1"/>
    <n v="58"/>
    <n v="105"/>
    <n v="754"/>
    <n v="1365"/>
    <n v="611"/>
    <n v="0.44761904761904764"/>
  </r>
  <r>
    <s v="T365"/>
    <x v="148"/>
    <x v="1"/>
    <x v="1"/>
    <s v="Red"/>
    <x v="0"/>
    <x v="3"/>
    <n v="10"/>
    <x v="1"/>
    <n v="39"/>
    <n v="76"/>
    <n v="390"/>
    <n v="760"/>
    <n v="370"/>
    <n v="0.48684210526315791"/>
  </r>
  <r>
    <s v="T366"/>
    <x v="149"/>
    <x v="2"/>
    <x v="1"/>
    <s v="Brown"/>
    <x v="3"/>
    <x v="11"/>
    <n v="15"/>
    <x v="3"/>
    <n v="28"/>
    <n v="54"/>
    <n v="420"/>
    <n v="810"/>
    <n v="390"/>
    <n v="0.48148148148148145"/>
  </r>
  <r>
    <s v="T367"/>
    <x v="149"/>
    <x v="4"/>
    <x v="1"/>
    <s v="Blue"/>
    <x v="3"/>
    <x v="3"/>
    <n v="13"/>
    <x v="2"/>
    <n v="14"/>
    <n v="32"/>
    <n v="182"/>
    <n v="416"/>
    <n v="234"/>
    <n v="0.5625"/>
  </r>
  <r>
    <s v="T368"/>
    <x v="149"/>
    <x v="4"/>
    <x v="3"/>
    <s v="Green"/>
    <x v="0"/>
    <x v="9"/>
    <n v="4"/>
    <x v="2"/>
    <n v="14"/>
    <n v="32"/>
    <n v="56"/>
    <n v="128"/>
    <n v="72"/>
    <n v="0.5625"/>
  </r>
  <r>
    <s v="T369"/>
    <x v="150"/>
    <x v="7"/>
    <x v="1"/>
    <s v="Green"/>
    <x v="0"/>
    <x v="0"/>
    <n v="13"/>
    <x v="0"/>
    <n v="72"/>
    <n v="128"/>
    <n v="936"/>
    <n v="1664"/>
    <n v="728"/>
    <n v="0.4375"/>
  </r>
  <r>
    <s v="T370"/>
    <x v="151"/>
    <x v="0"/>
    <x v="0"/>
    <s v="Blue"/>
    <x v="0"/>
    <x v="10"/>
    <n v="6"/>
    <x v="0"/>
    <n v="67"/>
    <n v="119"/>
    <n v="402"/>
    <n v="714"/>
    <n v="312"/>
    <n v="0.43697478991596639"/>
  </r>
  <r>
    <s v="T371"/>
    <x v="152"/>
    <x v="6"/>
    <x v="1"/>
    <s v="Red"/>
    <x v="0"/>
    <x v="0"/>
    <n v="4"/>
    <x v="2"/>
    <n v="64"/>
    <n v="112"/>
    <n v="256"/>
    <n v="448"/>
    <n v="192"/>
    <n v="0.42857142857142855"/>
  </r>
  <r>
    <s v="T372"/>
    <x v="152"/>
    <x v="3"/>
    <x v="0"/>
    <s v="Brown"/>
    <x v="4"/>
    <x v="11"/>
    <n v="7"/>
    <x v="1"/>
    <n v="47"/>
    <n v="89"/>
    <n v="329"/>
    <n v="623"/>
    <n v="294"/>
    <n v="0.47191011235955055"/>
  </r>
  <r>
    <s v="T373"/>
    <x v="152"/>
    <x v="7"/>
    <x v="3"/>
    <s v="Black"/>
    <x v="3"/>
    <x v="13"/>
    <n v="11"/>
    <x v="3"/>
    <n v="72"/>
    <n v="128"/>
    <n v="792"/>
    <n v="1408"/>
    <n v="616"/>
    <n v="0.4375"/>
  </r>
  <r>
    <s v="T374"/>
    <x v="152"/>
    <x v="4"/>
    <x v="1"/>
    <s v="Blue"/>
    <x v="0"/>
    <x v="11"/>
    <n v="9"/>
    <x v="1"/>
    <n v="14"/>
    <n v="32"/>
    <n v="126"/>
    <n v="288"/>
    <n v="162"/>
    <n v="0.5625"/>
  </r>
  <r>
    <s v="T375"/>
    <x v="153"/>
    <x v="1"/>
    <x v="1"/>
    <s v="Brown"/>
    <x v="0"/>
    <x v="0"/>
    <n v="14"/>
    <x v="1"/>
    <n v="39"/>
    <n v="76"/>
    <n v="546"/>
    <n v="1064"/>
    <n v="518"/>
    <n v="0.48684210526315791"/>
  </r>
  <r>
    <s v="T376"/>
    <x v="153"/>
    <x v="6"/>
    <x v="1"/>
    <s v="Red"/>
    <x v="2"/>
    <x v="11"/>
    <n v="3"/>
    <x v="3"/>
    <n v="64"/>
    <n v="112"/>
    <n v="192"/>
    <n v="336"/>
    <n v="144"/>
    <n v="0.42857142857142855"/>
  </r>
  <r>
    <s v="T377"/>
    <x v="153"/>
    <x v="7"/>
    <x v="1"/>
    <s v="Black"/>
    <x v="3"/>
    <x v="4"/>
    <n v="11"/>
    <x v="1"/>
    <n v="72"/>
    <n v="128"/>
    <n v="792"/>
    <n v="1408"/>
    <n v="616"/>
    <n v="0.4375"/>
  </r>
  <r>
    <s v="T378"/>
    <x v="153"/>
    <x v="7"/>
    <x v="1"/>
    <s v="Brown"/>
    <x v="1"/>
    <x v="2"/>
    <n v="9"/>
    <x v="1"/>
    <n v="72"/>
    <n v="128"/>
    <n v="648"/>
    <n v="1152"/>
    <n v="504"/>
    <n v="0.4375"/>
  </r>
  <r>
    <s v="T379"/>
    <x v="154"/>
    <x v="4"/>
    <x v="1"/>
    <s v="Green"/>
    <x v="4"/>
    <x v="4"/>
    <n v="8"/>
    <x v="3"/>
    <n v="14"/>
    <n v="32"/>
    <n v="112"/>
    <n v="256"/>
    <n v="144"/>
    <n v="0.5625"/>
  </r>
  <r>
    <s v="T380"/>
    <x v="154"/>
    <x v="1"/>
    <x v="1"/>
    <s v="Green"/>
    <x v="1"/>
    <x v="11"/>
    <n v="11"/>
    <x v="2"/>
    <n v="39"/>
    <n v="76"/>
    <n v="429"/>
    <n v="836"/>
    <n v="407"/>
    <n v="0.48684210526315791"/>
  </r>
  <r>
    <s v="T381"/>
    <x v="155"/>
    <x v="4"/>
    <x v="0"/>
    <s v="Blue"/>
    <x v="3"/>
    <x v="3"/>
    <n v="5"/>
    <x v="2"/>
    <n v="14"/>
    <n v="32"/>
    <n v="70"/>
    <n v="160"/>
    <n v="90"/>
    <n v="0.5625"/>
  </r>
  <r>
    <s v="T382"/>
    <x v="155"/>
    <x v="5"/>
    <x v="3"/>
    <s v="Brown"/>
    <x v="0"/>
    <x v="11"/>
    <n v="12"/>
    <x v="1"/>
    <n v="58"/>
    <n v="105"/>
    <n v="696"/>
    <n v="1260"/>
    <n v="564"/>
    <n v="0.44761904761904764"/>
  </r>
  <r>
    <s v="T383"/>
    <x v="155"/>
    <x v="3"/>
    <x v="3"/>
    <s v="Brown"/>
    <x v="2"/>
    <x v="6"/>
    <n v="13"/>
    <x v="1"/>
    <n v="47"/>
    <n v="89"/>
    <n v="611"/>
    <n v="1157"/>
    <n v="546"/>
    <n v="0.47191011235955055"/>
  </r>
  <r>
    <s v="T384"/>
    <x v="155"/>
    <x v="5"/>
    <x v="1"/>
    <s v="Green"/>
    <x v="2"/>
    <x v="3"/>
    <n v="8"/>
    <x v="3"/>
    <n v="58"/>
    <n v="105"/>
    <n v="464"/>
    <n v="840"/>
    <n v="376"/>
    <n v="0.44761904761904764"/>
  </r>
  <r>
    <s v="T385"/>
    <x v="156"/>
    <x v="2"/>
    <x v="3"/>
    <s v="Black"/>
    <x v="2"/>
    <x v="6"/>
    <n v="8"/>
    <x v="3"/>
    <n v="28"/>
    <n v="54"/>
    <n v="224"/>
    <n v="432"/>
    <n v="208"/>
    <n v="0.48148148148148145"/>
  </r>
  <r>
    <s v="T386"/>
    <x v="156"/>
    <x v="6"/>
    <x v="0"/>
    <s v="Brown"/>
    <x v="1"/>
    <x v="7"/>
    <n v="14"/>
    <x v="0"/>
    <n v="64"/>
    <n v="112"/>
    <n v="896"/>
    <n v="1568"/>
    <n v="672"/>
    <n v="0.42857142857142855"/>
  </r>
  <r>
    <s v="T387"/>
    <x v="156"/>
    <x v="4"/>
    <x v="0"/>
    <s v="Brown"/>
    <x v="0"/>
    <x v="11"/>
    <n v="8"/>
    <x v="1"/>
    <n v="14"/>
    <n v="32"/>
    <n v="112"/>
    <n v="256"/>
    <n v="144"/>
    <n v="0.5625"/>
  </r>
  <r>
    <s v="T388"/>
    <x v="157"/>
    <x v="1"/>
    <x v="0"/>
    <s v="Blue"/>
    <x v="3"/>
    <x v="4"/>
    <n v="4"/>
    <x v="3"/>
    <n v="39"/>
    <n v="76"/>
    <n v="156"/>
    <n v="304"/>
    <n v="148"/>
    <n v="0.48684210526315791"/>
  </r>
  <r>
    <s v="T389"/>
    <x v="157"/>
    <x v="5"/>
    <x v="1"/>
    <s v="Red"/>
    <x v="2"/>
    <x v="5"/>
    <n v="7"/>
    <x v="1"/>
    <n v="58"/>
    <n v="105"/>
    <n v="406"/>
    <n v="735"/>
    <n v="329"/>
    <n v="0.44761904761904764"/>
  </r>
  <r>
    <s v="T390"/>
    <x v="157"/>
    <x v="2"/>
    <x v="1"/>
    <s v="Black"/>
    <x v="4"/>
    <x v="6"/>
    <n v="1"/>
    <x v="1"/>
    <n v="28"/>
    <n v="54"/>
    <n v="28"/>
    <n v="54"/>
    <n v="26"/>
    <n v="0.48148148148148145"/>
  </r>
  <r>
    <s v="T391"/>
    <x v="157"/>
    <x v="0"/>
    <x v="1"/>
    <s v="Red"/>
    <x v="2"/>
    <x v="6"/>
    <n v="6"/>
    <x v="1"/>
    <n v="67"/>
    <n v="119"/>
    <n v="402"/>
    <n v="714"/>
    <n v="312"/>
    <n v="0.43697478991596639"/>
  </r>
  <r>
    <s v="T392"/>
    <x v="157"/>
    <x v="7"/>
    <x v="1"/>
    <s v="Blue"/>
    <x v="2"/>
    <x v="4"/>
    <n v="8"/>
    <x v="0"/>
    <n v="72"/>
    <n v="128"/>
    <n v="576"/>
    <n v="1024"/>
    <n v="448"/>
    <n v="0.4375"/>
  </r>
  <r>
    <s v="T393"/>
    <x v="157"/>
    <x v="6"/>
    <x v="2"/>
    <s v="Brown"/>
    <x v="4"/>
    <x v="1"/>
    <n v="8"/>
    <x v="3"/>
    <n v="64"/>
    <n v="112"/>
    <n v="512"/>
    <n v="896"/>
    <n v="384"/>
    <n v="0.42857142857142855"/>
  </r>
  <r>
    <s v="T394"/>
    <x v="158"/>
    <x v="6"/>
    <x v="1"/>
    <s v="Brown"/>
    <x v="2"/>
    <x v="12"/>
    <n v="5"/>
    <x v="0"/>
    <n v="64"/>
    <n v="112"/>
    <n v="320"/>
    <n v="560"/>
    <n v="240"/>
    <n v="0.42857142857142855"/>
  </r>
  <r>
    <s v="T395"/>
    <x v="158"/>
    <x v="3"/>
    <x v="2"/>
    <s v="Blue"/>
    <x v="1"/>
    <x v="1"/>
    <n v="12"/>
    <x v="0"/>
    <n v="47"/>
    <n v="89"/>
    <n v="564"/>
    <n v="1068"/>
    <n v="504"/>
    <n v="0.47191011235955055"/>
  </r>
  <r>
    <s v="T396"/>
    <x v="158"/>
    <x v="1"/>
    <x v="2"/>
    <s v="Blue"/>
    <x v="2"/>
    <x v="13"/>
    <n v="1"/>
    <x v="2"/>
    <n v="39"/>
    <n v="76"/>
    <n v="39"/>
    <n v="76"/>
    <n v="37"/>
    <n v="0.48684210526315791"/>
  </r>
  <r>
    <s v="T397"/>
    <x v="158"/>
    <x v="7"/>
    <x v="0"/>
    <s v="Green"/>
    <x v="0"/>
    <x v="1"/>
    <n v="15"/>
    <x v="0"/>
    <n v="72"/>
    <n v="128"/>
    <n v="1080"/>
    <n v="1920"/>
    <n v="840"/>
    <n v="0.4375"/>
  </r>
  <r>
    <s v="T398"/>
    <x v="159"/>
    <x v="1"/>
    <x v="1"/>
    <s v="Green"/>
    <x v="2"/>
    <x v="12"/>
    <n v="3"/>
    <x v="1"/>
    <n v="39"/>
    <n v="76"/>
    <n v="117"/>
    <n v="228"/>
    <n v="111"/>
    <n v="0.48684210526315791"/>
  </r>
  <r>
    <s v="T399"/>
    <x v="159"/>
    <x v="0"/>
    <x v="0"/>
    <s v="Green"/>
    <x v="3"/>
    <x v="0"/>
    <n v="8"/>
    <x v="2"/>
    <n v="67"/>
    <n v="119"/>
    <n v="536"/>
    <n v="952"/>
    <n v="416"/>
    <n v="0.43697478991596639"/>
  </r>
  <r>
    <s v="T400"/>
    <x v="159"/>
    <x v="1"/>
    <x v="2"/>
    <s v="Blue"/>
    <x v="3"/>
    <x v="6"/>
    <n v="8"/>
    <x v="1"/>
    <n v="39"/>
    <n v="76"/>
    <n v="312"/>
    <n v="608"/>
    <n v="296"/>
    <n v="0.48684210526315791"/>
  </r>
  <r>
    <s v="T401"/>
    <x v="160"/>
    <x v="3"/>
    <x v="0"/>
    <s v="Blue"/>
    <x v="0"/>
    <x v="11"/>
    <n v="4"/>
    <x v="1"/>
    <n v="47"/>
    <n v="89"/>
    <n v="188"/>
    <n v="356"/>
    <n v="168"/>
    <n v="0.47191011235955055"/>
  </r>
  <r>
    <s v="T402"/>
    <x v="161"/>
    <x v="0"/>
    <x v="3"/>
    <s v="Red"/>
    <x v="0"/>
    <x v="0"/>
    <n v="6"/>
    <x v="0"/>
    <n v="67"/>
    <n v="119"/>
    <n v="402"/>
    <n v="714"/>
    <n v="312"/>
    <n v="0.43697478991596639"/>
  </r>
  <r>
    <s v="T403"/>
    <x v="161"/>
    <x v="6"/>
    <x v="0"/>
    <s v="Black"/>
    <x v="4"/>
    <x v="5"/>
    <n v="10"/>
    <x v="3"/>
    <n v="64"/>
    <n v="112"/>
    <n v="640"/>
    <n v="1120"/>
    <n v="480"/>
    <n v="0.42857142857142855"/>
  </r>
  <r>
    <s v="T404"/>
    <x v="161"/>
    <x v="3"/>
    <x v="1"/>
    <s v="Blue"/>
    <x v="2"/>
    <x v="12"/>
    <n v="11"/>
    <x v="3"/>
    <n v="47"/>
    <n v="89"/>
    <n v="517"/>
    <n v="979"/>
    <n v="462"/>
    <n v="0.47191011235955055"/>
  </r>
  <r>
    <s v="T405"/>
    <x v="161"/>
    <x v="1"/>
    <x v="1"/>
    <s v="Green"/>
    <x v="2"/>
    <x v="0"/>
    <n v="7"/>
    <x v="3"/>
    <n v="39"/>
    <n v="76"/>
    <n v="273"/>
    <n v="532"/>
    <n v="259"/>
    <n v="0.48684210526315791"/>
  </r>
  <r>
    <s v="T406"/>
    <x v="162"/>
    <x v="6"/>
    <x v="1"/>
    <s v="Green"/>
    <x v="1"/>
    <x v="4"/>
    <n v="7"/>
    <x v="2"/>
    <n v="64"/>
    <n v="112"/>
    <n v="448"/>
    <n v="784"/>
    <n v="336"/>
    <n v="0.42857142857142855"/>
  </r>
  <r>
    <s v="T407"/>
    <x v="162"/>
    <x v="7"/>
    <x v="3"/>
    <s v="Black"/>
    <x v="1"/>
    <x v="6"/>
    <n v="3"/>
    <x v="3"/>
    <n v="72"/>
    <n v="128"/>
    <n v="216"/>
    <n v="384"/>
    <n v="168"/>
    <n v="0.4375"/>
  </r>
  <r>
    <s v="T408"/>
    <x v="162"/>
    <x v="4"/>
    <x v="3"/>
    <s v="Black"/>
    <x v="4"/>
    <x v="7"/>
    <n v="4"/>
    <x v="2"/>
    <n v="14"/>
    <n v="32"/>
    <n v="56"/>
    <n v="128"/>
    <n v="72"/>
    <n v="0.5625"/>
  </r>
  <r>
    <s v="T409"/>
    <x v="163"/>
    <x v="0"/>
    <x v="0"/>
    <s v="Blue"/>
    <x v="1"/>
    <x v="10"/>
    <n v="3"/>
    <x v="0"/>
    <n v="67"/>
    <n v="119"/>
    <n v="201"/>
    <n v="357"/>
    <n v="156"/>
    <n v="0.43697478991596639"/>
  </r>
  <r>
    <s v="T410"/>
    <x v="164"/>
    <x v="3"/>
    <x v="0"/>
    <s v="Black"/>
    <x v="0"/>
    <x v="0"/>
    <n v="3"/>
    <x v="1"/>
    <n v="47"/>
    <n v="89"/>
    <n v="141"/>
    <n v="267"/>
    <n v="126"/>
    <n v="0.47191011235955055"/>
  </r>
  <r>
    <s v="T411"/>
    <x v="165"/>
    <x v="7"/>
    <x v="1"/>
    <s v="Black"/>
    <x v="0"/>
    <x v="7"/>
    <n v="13"/>
    <x v="3"/>
    <n v="72"/>
    <n v="128"/>
    <n v="936"/>
    <n v="1664"/>
    <n v="728"/>
    <n v="0.4375"/>
  </r>
  <r>
    <s v="T412"/>
    <x v="165"/>
    <x v="3"/>
    <x v="1"/>
    <s v="Blue"/>
    <x v="3"/>
    <x v="10"/>
    <n v="3"/>
    <x v="0"/>
    <n v="47"/>
    <n v="89"/>
    <n v="141"/>
    <n v="267"/>
    <n v="126"/>
    <n v="0.47191011235955055"/>
  </r>
  <r>
    <s v="T413"/>
    <x v="165"/>
    <x v="0"/>
    <x v="0"/>
    <s v="Green"/>
    <x v="2"/>
    <x v="1"/>
    <n v="8"/>
    <x v="3"/>
    <n v="67"/>
    <n v="119"/>
    <n v="536"/>
    <n v="952"/>
    <n v="416"/>
    <n v="0.43697478991596639"/>
  </r>
  <r>
    <s v="T414"/>
    <x v="166"/>
    <x v="7"/>
    <x v="0"/>
    <s v="Red"/>
    <x v="3"/>
    <x v="13"/>
    <n v="6"/>
    <x v="2"/>
    <n v="72"/>
    <n v="128"/>
    <n v="432"/>
    <n v="768"/>
    <n v="336"/>
    <n v="0.4375"/>
  </r>
  <r>
    <s v="T415"/>
    <x v="167"/>
    <x v="3"/>
    <x v="1"/>
    <s v="Green"/>
    <x v="4"/>
    <x v="2"/>
    <n v="7"/>
    <x v="3"/>
    <n v="47"/>
    <n v="89"/>
    <n v="329"/>
    <n v="623"/>
    <n v="294"/>
    <n v="0.47191011235955055"/>
  </r>
  <r>
    <s v="T416"/>
    <x v="167"/>
    <x v="6"/>
    <x v="2"/>
    <s v="Blue"/>
    <x v="3"/>
    <x v="5"/>
    <n v="12"/>
    <x v="0"/>
    <n v="64"/>
    <n v="112"/>
    <n v="768"/>
    <n v="1344"/>
    <n v="576"/>
    <n v="0.42857142857142855"/>
  </r>
  <r>
    <s v="T417"/>
    <x v="167"/>
    <x v="1"/>
    <x v="1"/>
    <s v="Green"/>
    <x v="2"/>
    <x v="2"/>
    <n v="3"/>
    <x v="1"/>
    <n v="39"/>
    <n v="76"/>
    <n v="117"/>
    <n v="228"/>
    <n v="111"/>
    <n v="0.48684210526315791"/>
  </r>
  <r>
    <s v="T418"/>
    <x v="167"/>
    <x v="4"/>
    <x v="1"/>
    <s v="Black"/>
    <x v="2"/>
    <x v="9"/>
    <n v="3"/>
    <x v="1"/>
    <n v="14"/>
    <n v="32"/>
    <n v="42"/>
    <n v="96"/>
    <n v="54"/>
    <n v="0.5625"/>
  </r>
  <r>
    <s v="T419"/>
    <x v="168"/>
    <x v="0"/>
    <x v="1"/>
    <s v="Black"/>
    <x v="4"/>
    <x v="0"/>
    <n v="6"/>
    <x v="2"/>
    <n v="67"/>
    <n v="119"/>
    <n v="402"/>
    <n v="714"/>
    <n v="312"/>
    <n v="0.43697478991596639"/>
  </r>
  <r>
    <s v="T420"/>
    <x v="168"/>
    <x v="0"/>
    <x v="1"/>
    <s v="Black"/>
    <x v="2"/>
    <x v="9"/>
    <n v="7"/>
    <x v="1"/>
    <n v="67"/>
    <n v="119"/>
    <n v="469"/>
    <n v="833"/>
    <n v="364"/>
    <n v="0.43697478991596639"/>
  </r>
  <r>
    <s v="T421"/>
    <x v="169"/>
    <x v="3"/>
    <x v="1"/>
    <s v="Brown"/>
    <x v="3"/>
    <x v="0"/>
    <n v="12"/>
    <x v="0"/>
    <n v="47"/>
    <n v="89"/>
    <n v="564"/>
    <n v="1068"/>
    <n v="504"/>
    <n v="0.47191011235955055"/>
  </r>
  <r>
    <s v="T422"/>
    <x v="170"/>
    <x v="4"/>
    <x v="0"/>
    <s v="Green"/>
    <x v="0"/>
    <x v="11"/>
    <n v="9"/>
    <x v="2"/>
    <n v="14"/>
    <n v="32"/>
    <n v="126"/>
    <n v="288"/>
    <n v="162"/>
    <n v="0.5625"/>
  </r>
  <r>
    <s v="T423"/>
    <x v="170"/>
    <x v="1"/>
    <x v="1"/>
    <s v="Red"/>
    <x v="2"/>
    <x v="12"/>
    <n v="15"/>
    <x v="2"/>
    <n v="39"/>
    <n v="76"/>
    <n v="585"/>
    <n v="1140"/>
    <n v="555"/>
    <n v="0.48684210526315791"/>
  </r>
  <r>
    <s v="T424"/>
    <x v="171"/>
    <x v="3"/>
    <x v="0"/>
    <s v="Brown"/>
    <x v="2"/>
    <x v="7"/>
    <n v="4"/>
    <x v="3"/>
    <n v="47"/>
    <n v="89"/>
    <n v="188"/>
    <n v="356"/>
    <n v="168"/>
    <n v="0.47191011235955055"/>
  </r>
  <r>
    <s v="T425"/>
    <x v="171"/>
    <x v="4"/>
    <x v="0"/>
    <s v="Black"/>
    <x v="0"/>
    <x v="0"/>
    <n v="15"/>
    <x v="1"/>
    <n v="14"/>
    <n v="32"/>
    <n v="210"/>
    <n v="480"/>
    <n v="270"/>
    <n v="0.5625"/>
  </r>
  <r>
    <s v="T426"/>
    <x v="171"/>
    <x v="5"/>
    <x v="1"/>
    <s v="Green"/>
    <x v="0"/>
    <x v="8"/>
    <n v="5"/>
    <x v="2"/>
    <n v="58"/>
    <n v="105"/>
    <n v="290"/>
    <n v="525"/>
    <n v="235"/>
    <n v="0.44761904761904764"/>
  </r>
  <r>
    <s v="T427"/>
    <x v="171"/>
    <x v="1"/>
    <x v="2"/>
    <s v="Black"/>
    <x v="4"/>
    <x v="2"/>
    <n v="6"/>
    <x v="3"/>
    <n v="39"/>
    <n v="76"/>
    <n v="234"/>
    <n v="456"/>
    <n v="222"/>
    <n v="0.48684210526315791"/>
  </r>
  <r>
    <s v="T428"/>
    <x v="172"/>
    <x v="2"/>
    <x v="1"/>
    <s v="Red"/>
    <x v="4"/>
    <x v="6"/>
    <n v="4"/>
    <x v="0"/>
    <n v="28"/>
    <n v="54"/>
    <n v="112"/>
    <n v="216"/>
    <n v="104"/>
    <n v="0.48148148148148145"/>
  </r>
  <r>
    <s v="T429"/>
    <x v="172"/>
    <x v="7"/>
    <x v="0"/>
    <s v="Red"/>
    <x v="2"/>
    <x v="3"/>
    <n v="6"/>
    <x v="0"/>
    <n v="72"/>
    <n v="128"/>
    <n v="432"/>
    <n v="768"/>
    <n v="336"/>
    <n v="0.4375"/>
  </r>
  <r>
    <s v="T430"/>
    <x v="173"/>
    <x v="6"/>
    <x v="0"/>
    <s v="Blue"/>
    <x v="4"/>
    <x v="9"/>
    <n v="10"/>
    <x v="0"/>
    <n v="64"/>
    <n v="112"/>
    <n v="640"/>
    <n v="1120"/>
    <n v="480"/>
    <n v="0.42857142857142855"/>
  </r>
  <r>
    <s v="T431"/>
    <x v="173"/>
    <x v="3"/>
    <x v="1"/>
    <s v="Black"/>
    <x v="2"/>
    <x v="8"/>
    <n v="8"/>
    <x v="2"/>
    <n v="47"/>
    <n v="89"/>
    <n v="376"/>
    <n v="712"/>
    <n v="336"/>
    <n v="0.47191011235955055"/>
  </r>
  <r>
    <s v="T432"/>
    <x v="173"/>
    <x v="4"/>
    <x v="0"/>
    <s v="Brown"/>
    <x v="2"/>
    <x v="7"/>
    <n v="12"/>
    <x v="0"/>
    <n v="14"/>
    <n v="32"/>
    <n v="168"/>
    <n v="384"/>
    <n v="216"/>
    <n v="0.5625"/>
  </r>
  <r>
    <s v="T433"/>
    <x v="174"/>
    <x v="6"/>
    <x v="0"/>
    <s v="Green"/>
    <x v="1"/>
    <x v="12"/>
    <n v="5"/>
    <x v="2"/>
    <n v="64"/>
    <n v="112"/>
    <n v="320"/>
    <n v="560"/>
    <n v="240"/>
    <n v="0.42857142857142855"/>
  </r>
  <r>
    <s v="T434"/>
    <x v="175"/>
    <x v="3"/>
    <x v="1"/>
    <s v="Red"/>
    <x v="0"/>
    <x v="11"/>
    <n v="2"/>
    <x v="3"/>
    <n v="47"/>
    <n v="89"/>
    <n v="94"/>
    <n v="178"/>
    <n v="84"/>
    <n v="0.47191011235955055"/>
  </r>
  <r>
    <s v="T435"/>
    <x v="175"/>
    <x v="4"/>
    <x v="0"/>
    <s v="Red"/>
    <x v="0"/>
    <x v="9"/>
    <n v="4"/>
    <x v="3"/>
    <n v="14"/>
    <n v="32"/>
    <n v="56"/>
    <n v="128"/>
    <n v="72"/>
    <n v="0.5625"/>
  </r>
  <r>
    <s v="T436"/>
    <x v="175"/>
    <x v="3"/>
    <x v="1"/>
    <s v="Brown"/>
    <x v="2"/>
    <x v="12"/>
    <n v="6"/>
    <x v="3"/>
    <n v="47"/>
    <n v="89"/>
    <n v="282"/>
    <n v="534"/>
    <n v="252"/>
    <n v="0.47191011235955055"/>
  </r>
  <r>
    <s v="T437"/>
    <x v="175"/>
    <x v="2"/>
    <x v="0"/>
    <s v="Red"/>
    <x v="0"/>
    <x v="8"/>
    <n v="9"/>
    <x v="0"/>
    <n v="28"/>
    <n v="54"/>
    <n v="252"/>
    <n v="486"/>
    <n v="234"/>
    <n v="0.48148148148148145"/>
  </r>
  <r>
    <s v="T438"/>
    <x v="176"/>
    <x v="1"/>
    <x v="1"/>
    <s v="Brown"/>
    <x v="1"/>
    <x v="5"/>
    <n v="14"/>
    <x v="1"/>
    <n v="39"/>
    <n v="76"/>
    <n v="546"/>
    <n v="1064"/>
    <n v="518"/>
    <n v="0.48684210526315791"/>
  </r>
  <r>
    <s v="T439"/>
    <x v="176"/>
    <x v="0"/>
    <x v="1"/>
    <s v="Black"/>
    <x v="3"/>
    <x v="13"/>
    <n v="15"/>
    <x v="1"/>
    <n v="67"/>
    <n v="119"/>
    <n v="1005"/>
    <n v="1785"/>
    <n v="780"/>
    <n v="0.43697478991596639"/>
  </r>
  <r>
    <s v="T440"/>
    <x v="176"/>
    <x v="6"/>
    <x v="1"/>
    <s v="Red"/>
    <x v="1"/>
    <x v="9"/>
    <n v="12"/>
    <x v="2"/>
    <n v="64"/>
    <n v="112"/>
    <n v="768"/>
    <n v="1344"/>
    <n v="576"/>
    <n v="0.42857142857142855"/>
  </r>
  <r>
    <s v="T441"/>
    <x v="176"/>
    <x v="0"/>
    <x v="1"/>
    <s v="Brown"/>
    <x v="0"/>
    <x v="2"/>
    <n v="11"/>
    <x v="1"/>
    <n v="67"/>
    <n v="119"/>
    <n v="737"/>
    <n v="1309"/>
    <n v="572"/>
    <n v="0.43697478991596639"/>
  </r>
  <r>
    <s v="T442"/>
    <x v="176"/>
    <x v="1"/>
    <x v="3"/>
    <s v="Red"/>
    <x v="1"/>
    <x v="8"/>
    <n v="15"/>
    <x v="0"/>
    <n v="39"/>
    <n v="76"/>
    <n v="585"/>
    <n v="1140"/>
    <n v="555"/>
    <n v="0.48684210526315791"/>
  </r>
  <r>
    <s v="T443"/>
    <x v="177"/>
    <x v="7"/>
    <x v="1"/>
    <s v="Brown"/>
    <x v="2"/>
    <x v="0"/>
    <n v="15"/>
    <x v="1"/>
    <n v="72"/>
    <n v="128"/>
    <n v="1080"/>
    <n v="1920"/>
    <n v="840"/>
    <n v="0.4375"/>
  </r>
  <r>
    <s v="T444"/>
    <x v="177"/>
    <x v="3"/>
    <x v="1"/>
    <s v="Black"/>
    <x v="0"/>
    <x v="10"/>
    <n v="1"/>
    <x v="0"/>
    <n v="47"/>
    <n v="89"/>
    <n v="47"/>
    <n v="89"/>
    <n v="42"/>
    <n v="0.47191011235955055"/>
  </r>
  <r>
    <s v="T445"/>
    <x v="177"/>
    <x v="5"/>
    <x v="3"/>
    <s v="Green"/>
    <x v="0"/>
    <x v="8"/>
    <n v="13"/>
    <x v="2"/>
    <n v="58"/>
    <n v="105"/>
    <n v="754"/>
    <n v="1365"/>
    <n v="611"/>
    <n v="0.44761904761904764"/>
  </r>
  <r>
    <s v="T446"/>
    <x v="177"/>
    <x v="5"/>
    <x v="0"/>
    <s v="Blue"/>
    <x v="3"/>
    <x v="6"/>
    <n v="5"/>
    <x v="0"/>
    <n v="58"/>
    <n v="105"/>
    <n v="290"/>
    <n v="525"/>
    <n v="235"/>
    <n v="0.44761904761904764"/>
  </r>
  <r>
    <s v="T447"/>
    <x v="177"/>
    <x v="5"/>
    <x v="0"/>
    <s v="Black"/>
    <x v="4"/>
    <x v="8"/>
    <n v="9"/>
    <x v="2"/>
    <n v="58"/>
    <n v="105"/>
    <n v="522"/>
    <n v="945"/>
    <n v="423"/>
    <n v="0.44761904761904764"/>
  </r>
  <r>
    <s v="T448"/>
    <x v="178"/>
    <x v="2"/>
    <x v="3"/>
    <s v="Red"/>
    <x v="3"/>
    <x v="8"/>
    <n v="4"/>
    <x v="2"/>
    <n v="28"/>
    <n v="54"/>
    <n v="112"/>
    <n v="216"/>
    <n v="104"/>
    <n v="0.48148148148148145"/>
  </r>
  <r>
    <s v="T449"/>
    <x v="178"/>
    <x v="4"/>
    <x v="3"/>
    <s v="Brown"/>
    <x v="3"/>
    <x v="10"/>
    <n v="1"/>
    <x v="1"/>
    <n v="14"/>
    <n v="32"/>
    <n v="14"/>
    <n v="32"/>
    <n v="18"/>
    <n v="0.5625"/>
  </r>
  <r>
    <s v="T450"/>
    <x v="179"/>
    <x v="4"/>
    <x v="2"/>
    <s v="Brown"/>
    <x v="2"/>
    <x v="2"/>
    <n v="8"/>
    <x v="0"/>
    <n v="14"/>
    <n v="32"/>
    <n v="112"/>
    <n v="256"/>
    <n v="144"/>
    <n v="0.5625"/>
  </r>
  <r>
    <s v="T451"/>
    <x v="180"/>
    <x v="3"/>
    <x v="2"/>
    <s v="Blue"/>
    <x v="2"/>
    <x v="13"/>
    <n v="10"/>
    <x v="1"/>
    <n v="47"/>
    <n v="89"/>
    <n v="470"/>
    <n v="890"/>
    <n v="420"/>
    <n v="0.47191011235955055"/>
  </r>
  <r>
    <s v="T452"/>
    <x v="180"/>
    <x v="6"/>
    <x v="1"/>
    <s v="Brown"/>
    <x v="2"/>
    <x v="1"/>
    <n v="4"/>
    <x v="1"/>
    <n v="64"/>
    <n v="112"/>
    <n v="256"/>
    <n v="448"/>
    <n v="192"/>
    <n v="0.42857142857142855"/>
  </r>
  <r>
    <s v="T453"/>
    <x v="180"/>
    <x v="5"/>
    <x v="1"/>
    <s v="Blue"/>
    <x v="2"/>
    <x v="0"/>
    <n v="15"/>
    <x v="3"/>
    <n v="58"/>
    <n v="105"/>
    <n v="870"/>
    <n v="1575"/>
    <n v="705"/>
    <n v="0.44761904761904764"/>
  </r>
  <r>
    <s v="T454"/>
    <x v="180"/>
    <x v="2"/>
    <x v="1"/>
    <s v="Brown"/>
    <x v="0"/>
    <x v="11"/>
    <n v="6"/>
    <x v="1"/>
    <n v="28"/>
    <n v="54"/>
    <n v="168"/>
    <n v="324"/>
    <n v="156"/>
    <n v="0.48148148148148145"/>
  </r>
  <r>
    <s v="T455"/>
    <x v="180"/>
    <x v="2"/>
    <x v="1"/>
    <s v="Green"/>
    <x v="0"/>
    <x v="2"/>
    <n v="9"/>
    <x v="3"/>
    <n v="28"/>
    <n v="54"/>
    <n v="252"/>
    <n v="486"/>
    <n v="234"/>
    <n v="0.48148148148148145"/>
  </r>
  <r>
    <s v="T456"/>
    <x v="180"/>
    <x v="0"/>
    <x v="1"/>
    <s v="Black"/>
    <x v="2"/>
    <x v="7"/>
    <n v="10"/>
    <x v="3"/>
    <n v="67"/>
    <n v="119"/>
    <n v="670"/>
    <n v="1190"/>
    <n v="520"/>
    <n v="0.43697478991596639"/>
  </r>
  <r>
    <s v="T457"/>
    <x v="181"/>
    <x v="5"/>
    <x v="1"/>
    <s v="Green"/>
    <x v="4"/>
    <x v="0"/>
    <n v="13"/>
    <x v="3"/>
    <n v="58"/>
    <n v="105"/>
    <n v="754"/>
    <n v="1365"/>
    <n v="611"/>
    <n v="0.44761904761904764"/>
  </r>
  <r>
    <s v="T458"/>
    <x v="181"/>
    <x v="4"/>
    <x v="1"/>
    <s v="Green"/>
    <x v="2"/>
    <x v="8"/>
    <n v="4"/>
    <x v="1"/>
    <n v="14"/>
    <n v="32"/>
    <n v="56"/>
    <n v="128"/>
    <n v="72"/>
    <n v="0.5625"/>
  </r>
  <r>
    <s v="T459"/>
    <x v="182"/>
    <x v="6"/>
    <x v="1"/>
    <s v="Blue"/>
    <x v="1"/>
    <x v="9"/>
    <n v="11"/>
    <x v="3"/>
    <n v="64"/>
    <n v="112"/>
    <n v="704"/>
    <n v="1232"/>
    <n v="528"/>
    <n v="0.42857142857142855"/>
  </r>
  <r>
    <s v="T460"/>
    <x v="182"/>
    <x v="4"/>
    <x v="0"/>
    <s v="Green"/>
    <x v="2"/>
    <x v="5"/>
    <n v="10"/>
    <x v="0"/>
    <n v="14"/>
    <n v="32"/>
    <n v="140"/>
    <n v="320"/>
    <n v="180"/>
    <n v="0.5625"/>
  </r>
  <r>
    <s v="T461"/>
    <x v="182"/>
    <x v="0"/>
    <x v="0"/>
    <s v="Red"/>
    <x v="2"/>
    <x v="7"/>
    <n v="10"/>
    <x v="3"/>
    <n v="67"/>
    <n v="119"/>
    <n v="670"/>
    <n v="1190"/>
    <n v="520"/>
    <n v="0.43697478991596639"/>
  </r>
  <r>
    <s v="T462"/>
    <x v="183"/>
    <x v="6"/>
    <x v="1"/>
    <s v="Red"/>
    <x v="1"/>
    <x v="1"/>
    <n v="15"/>
    <x v="0"/>
    <n v="64"/>
    <n v="112"/>
    <n v="960"/>
    <n v="1680"/>
    <n v="720"/>
    <n v="0.42857142857142855"/>
  </r>
  <r>
    <s v="T463"/>
    <x v="183"/>
    <x v="4"/>
    <x v="3"/>
    <s v="Brown"/>
    <x v="4"/>
    <x v="10"/>
    <n v="7"/>
    <x v="2"/>
    <n v="14"/>
    <n v="32"/>
    <n v="98"/>
    <n v="224"/>
    <n v="126"/>
    <n v="0.5625"/>
  </r>
  <r>
    <s v="T464"/>
    <x v="184"/>
    <x v="1"/>
    <x v="1"/>
    <s v="Red"/>
    <x v="3"/>
    <x v="2"/>
    <n v="5"/>
    <x v="1"/>
    <n v="39"/>
    <n v="76"/>
    <n v="195"/>
    <n v="380"/>
    <n v="185"/>
    <n v="0.48684210526315791"/>
  </r>
  <r>
    <s v="T465"/>
    <x v="184"/>
    <x v="2"/>
    <x v="3"/>
    <s v="Green"/>
    <x v="0"/>
    <x v="0"/>
    <n v="10"/>
    <x v="2"/>
    <n v="28"/>
    <n v="54"/>
    <n v="280"/>
    <n v="540"/>
    <n v="260"/>
    <n v="0.48148148148148145"/>
  </r>
  <r>
    <s v="T466"/>
    <x v="184"/>
    <x v="7"/>
    <x v="1"/>
    <s v="Brown"/>
    <x v="0"/>
    <x v="4"/>
    <n v="5"/>
    <x v="2"/>
    <n v="72"/>
    <n v="128"/>
    <n v="360"/>
    <n v="640"/>
    <n v="280"/>
    <n v="0.4375"/>
  </r>
  <r>
    <s v="T467"/>
    <x v="184"/>
    <x v="0"/>
    <x v="0"/>
    <s v="Green"/>
    <x v="2"/>
    <x v="1"/>
    <n v="10"/>
    <x v="2"/>
    <n v="67"/>
    <n v="119"/>
    <n v="670"/>
    <n v="1190"/>
    <n v="520"/>
    <n v="0.43697478991596639"/>
  </r>
  <r>
    <s v="T468"/>
    <x v="185"/>
    <x v="7"/>
    <x v="1"/>
    <s v="Blue"/>
    <x v="2"/>
    <x v="13"/>
    <n v="13"/>
    <x v="0"/>
    <n v="72"/>
    <n v="128"/>
    <n v="936"/>
    <n v="1664"/>
    <n v="728"/>
    <n v="0.4375"/>
  </r>
  <r>
    <s v="T469"/>
    <x v="186"/>
    <x v="6"/>
    <x v="0"/>
    <s v="Green"/>
    <x v="4"/>
    <x v="6"/>
    <n v="15"/>
    <x v="3"/>
    <n v="64"/>
    <n v="112"/>
    <n v="960"/>
    <n v="1680"/>
    <n v="720"/>
    <n v="0.42857142857142855"/>
  </r>
  <r>
    <s v="T470"/>
    <x v="187"/>
    <x v="4"/>
    <x v="1"/>
    <s v="Brown"/>
    <x v="2"/>
    <x v="3"/>
    <n v="7"/>
    <x v="0"/>
    <n v="14"/>
    <n v="32"/>
    <n v="98"/>
    <n v="224"/>
    <n v="126"/>
    <n v="0.5625"/>
  </r>
  <r>
    <s v="T471"/>
    <x v="187"/>
    <x v="4"/>
    <x v="3"/>
    <s v="Red"/>
    <x v="0"/>
    <x v="3"/>
    <n v="9"/>
    <x v="1"/>
    <n v="14"/>
    <n v="32"/>
    <n v="126"/>
    <n v="288"/>
    <n v="162"/>
    <n v="0.5625"/>
  </r>
  <r>
    <s v="T472"/>
    <x v="188"/>
    <x v="1"/>
    <x v="0"/>
    <s v="Green"/>
    <x v="1"/>
    <x v="3"/>
    <n v="9"/>
    <x v="2"/>
    <n v="39"/>
    <n v="76"/>
    <n v="351"/>
    <n v="684"/>
    <n v="333"/>
    <n v="0.48684210526315791"/>
  </r>
  <r>
    <s v="T473"/>
    <x v="189"/>
    <x v="0"/>
    <x v="1"/>
    <s v="Brown"/>
    <x v="2"/>
    <x v="7"/>
    <n v="3"/>
    <x v="3"/>
    <n v="67"/>
    <n v="119"/>
    <n v="201"/>
    <n v="357"/>
    <n v="156"/>
    <n v="0.43697478991596639"/>
  </r>
  <r>
    <s v="T474"/>
    <x v="190"/>
    <x v="5"/>
    <x v="3"/>
    <s v="Blue"/>
    <x v="2"/>
    <x v="7"/>
    <n v="12"/>
    <x v="0"/>
    <n v="58"/>
    <n v="105"/>
    <n v="696"/>
    <n v="1260"/>
    <n v="564"/>
    <n v="0.44761904761904764"/>
  </r>
  <r>
    <s v="T475"/>
    <x v="190"/>
    <x v="0"/>
    <x v="2"/>
    <s v="Red"/>
    <x v="0"/>
    <x v="10"/>
    <n v="1"/>
    <x v="2"/>
    <n v="67"/>
    <n v="119"/>
    <n v="67"/>
    <n v="119"/>
    <n v="52"/>
    <n v="0.43697478991596639"/>
  </r>
  <r>
    <s v="T476"/>
    <x v="190"/>
    <x v="1"/>
    <x v="0"/>
    <s v="Black"/>
    <x v="0"/>
    <x v="13"/>
    <n v="9"/>
    <x v="2"/>
    <n v="39"/>
    <n v="76"/>
    <n v="351"/>
    <n v="684"/>
    <n v="333"/>
    <n v="0.48684210526315791"/>
  </r>
  <r>
    <s v="T477"/>
    <x v="191"/>
    <x v="2"/>
    <x v="1"/>
    <s v="Red"/>
    <x v="4"/>
    <x v="3"/>
    <n v="14"/>
    <x v="0"/>
    <n v="28"/>
    <n v="54"/>
    <n v="392"/>
    <n v="756"/>
    <n v="364"/>
    <n v="0.48148148148148145"/>
  </r>
  <r>
    <s v="T478"/>
    <x v="191"/>
    <x v="1"/>
    <x v="1"/>
    <s v="Red"/>
    <x v="2"/>
    <x v="6"/>
    <n v="7"/>
    <x v="2"/>
    <n v="39"/>
    <n v="76"/>
    <n v="273"/>
    <n v="532"/>
    <n v="259"/>
    <n v="0.48684210526315791"/>
  </r>
  <r>
    <s v="T479"/>
    <x v="191"/>
    <x v="3"/>
    <x v="1"/>
    <s v="Red"/>
    <x v="1"/>
    <x v="0"/>
    <n v="1"/>
    <x v="2"/>
    <n v="47"/>
    <n v="89"/>
    <n v="47"/>
    <n v="89"/>
    <n v="42"/>
    <n v="0.47191011235955055"/>
  </r>
  <r>
    <s v="T480"/>
    <x v="192"/>
    <x v="1"/>
    <x v="1"/>
    <s v="Green"/>
    <x v="2"/>
    <x v="10"/>
    <n v="5"/>
    <x v="2"/>
    <n v="39"/>
    <n v="76"/>
    <n v="195"/>
    <n v="380"/>
    <n v="185"/>
    <n v="0.48684210526315791"/>
  </r>
  <r>
    <s v="T481"/>
    <x v="193"/>
    <x v="7"/>
    <x v="3"/>
    <s v="Green"/>
    <x v="0"/>
    <x v="8"/>
    <n v="6"/>
    <x v="1"/>
    <n v="72"/>
    <n v="128"/>
    <n v="432"/>
    <n v="768"/>
    <n v="336"/>
    <n v="0.4375"/>
  </r>
  <r>
    <s v="T482"/>
    <x v="193"/>
    <x v="1"/>
    <x v="1"/>
    <s v="Red"/>
    <x v="2"/>
    <x v="13"/>
    <n v="5"/>
    <x v="0"/>
    <n v="39"/>
    <n v="76"/>
    <n v="195"/>
    <n v="380"/>
    <n v="185"/>
    <n v="0.48684210526315791"/>
  </r>
  <r>
    <s v="T483"/>
    <x v="194"/>
    <x v="1"/>
    <x v="2"/>
    <s v="Brown"/>
    <x v="2"/>
    <x v="5"/>
    <n v="2"/>
    <x v="2"/>
    <n v="39"/>
    <n v="76"/>
    <n v="78"/>
    <n v="152"/>
    <n v="74"/>
    <n v="0.48684210526315791"/>
  </r>
  <r>
    <s v="T484"/>
    <x v="194"/>
    <x v="4"/>
    <x v="1"/>
    <s v="Red"/>
    <x v="2"/>
    <x v="11"/>
    <n v="11"/>
    <x v="1"/>
    <n v="14"/>
    <n v="32"/>
    <n v="154"/>
    <n v="352"/>
    <n v="198"/>
    <n v="0.5625"/>
  </r>
  <r>
    <s v="T485"/>
    <x v="195"/>
    <x v="1"/>
    <x v="0"/>
    <s v="Brown"/>
    <x v="2"/>
    <x v="11"/>
    <n v="2"/>
    <x v="2"/>
    <n v="39"/>
    <n v="76"/>
    <n v="78"/>
    <n v="152"/>
    <n v="74"/>
    <n v="0.48684210526315791"/>
  </r>
  <r>
    <s v="T486"/>
    <x v="195"/>
    <x v="7"/>
    <x v="0"/>
    <s v="Red"/>
    <x v="0"/>
    <x v="10"/>
    <n v="4"/>
    <x v="3"/>
    <n v="72"/>
    <n v="128"/>
    <n v="288"/>
    <n v="512"/>
    <n v="224"/>
    <n v="0.4375"/>
  </r>
  <r>
    <s v="T487"/>
    <x v="196"/>
    <x v="3"/>
    <x v="1"/>
    <s v="Red"/>
    <x v="0"/>
    <x v="9"/>
    <n v="8"/>
    <x v="1"/>
    <n v="47"/>
    <n v="89"/>
    <n v="376"/>
    <n v="712"/>
    <n v="336"/>
    <n v="0.47191011235955055"/>
  </r>
  <r>
    <s v="T488"/>
    <x v="196"/>
    <x v="6"/>
    <x v="3"/>
    <s v="Green"/>
    <x v="3"/>
    <x v="4"/>
    <n v="9"/>
    <x v="0"/>
    <n v="64"/>
    <n v="112"/>
    <n v="576"/>
    <n v="1008"/>
    <n v="432"/>
    <n v="0.42857142857142855"/>
  </r>
  <r>
    <s v="T489"/>
    <x v="197"/>
    <x v="4"/>
    <x v="0"/>
    <s v="Brown"/>
    <x v="0"/>
    <x v="0"/>
    <n v="7"/>
    <x v="1"/>
    <n v="14"/>
    <n v="32"/>
    <n v="98"/>
    <n v="224"/>
    <n v="126"/>
    <n v="0.5625"/>
  </r>
  <r>
    <s v="T490"/>
    <x v="197"/>
    <x v="6"/>
    <x v="3"/>
    <s v="Red"/>
    <x v="2"/>
    <x v="6"/>
    <n v="8"/>
    <x v="3"/>
    <n v="64"/>
    <n v="112"/>
    <n v="512"/>
    <n v="896"/>
    <n v="384"/>
    <n v="0.42857142857142855"/>
  </r>
  <r>
    <s v="T491"/>
    <x v="198"/>
    <x v="5"/>
    <x v="3"/>
    <s v="Green"/>
    <x v="4"/>
    <x v="8"/>
    <n v="9"/>
    <x v="3"/>
    <n v="58"/>
    <n v="105"/>
    <n v="522"/>
    <n v="945"/>
    <n v="423"/>
    <n v="0.44761904761904764"/>
  </r>
  <r>
    <s v="T492"/>
    <x v="198"/>
    <x v="3"/>
    <x v="1"/>
    <s v="Green"/>
    <x v="2"/>
    <x v="9"/>
    <n v="8"/>
    <x v="3"/>
    <n v="47"/>
    <n v="89"/>
    <n v="376"/>
    <n v="712"/>
    <n v="336"/>
    <n v="0.47191011235955055"/>
  </r>
  <r>
    <s v="T493"/>
    <x v="199"/>
    <x v="0"/>
    <x v="3"/>
    <s v="Black"/>
    <x v="4"/>
    <x v="6"/>
    <n v="1"/>
    <x v="0"/>
    <n v="67"/>
    <n v="119"/>
    <n v="67"/>
    <n v="119"/>
    <n v="52"/>
    <n v="0.43697478991596639"/>
  </r>
  <r>
    <s v="T494"/>
    <x v="199"/>
    <x v="3"/>
    <x v="1"/>
    <s v="Blue"/>
    <x v="2"/>
    <x v="12"/>
    <n v="14"/>
    <x v="2"/>
    <n v="47"/>
    <n v="89"/>
    <n v="658"/>
    <n v="1246"/>
    <n v="588"/>
    <n v="0.47191011235955055"/>
  </r>
  <r>
    <s v="T495"/>
    <x v="200"/>
    <x v="2"/>
    <x v="2"/>
    <s v="Brown"/>
    <x v="0"/>
    <x v="11"/>
    <n v="5"/>
    <x v="0"/>
    <n v="28"/>
    <n v="54"/>
    <n v="140"/>
    <n v="270"/>
    <n v="130"/>
    <n v="0.48148148148148145"/>
  </r>
  <r>
    <s v="T496"/>
    <x v="200"/>
    <x v="7"/>
    <x v="1"/>
    <s v="Black"/>
    <x v="0"/>
    <x v="1"/>
    <n v="9"/>
    <x v="3"/>
    <n v="72"/>
    <n v="128"/>
    <n v="648"/>
    <n v="1152"/>
    <n v="504"/>
    <n v="0.4375"/>
  </r>
  <r>
    <s v="T497"/>
    <x v="200"/>
    <x v="7"/>
    <x v="1"/>
    <s v="Black"/>
    <x v="2"/>
    <x v="0"/>
    <n v="10"/>
    <x v="1"/>
    <n v="72"/>
    <n v="128"/>
    <n v="720"/>
    <n v="1280"/>
    <n v="560"/>
    <n v="0.4375"/>
  </r>
  <r>
    <s v="T498"/>
    <x v="201"/>
    <x v="6"/>
    <x v="0"/>
    <s v="Blue"/>
    <x v="1"/>
    <x v="9"/>
    <n v="7"/>
    <x v="0"/>
    <n v="64"/>
    <n v="112"/>
    <n v="448"/>
    <n v="784"/>
    <n v="336"/>
    <n v="0.42857142857142855"/>
  </r>
  <r>
    <s v="T499"/>
    <x v="202"/>
    <x v="6"/>
    <x v="0"/>
    <s v="Green"/>
    <x v="0"/>
    <x v="0"/>
    <n v="1"/>
    <x v="3"/>
    <n v="64"/>
    <n v="112"/>
    <n v="64"/>
    <n v="112"/>
    <n v="48"/>
    <n v="0.42857142857142855"/>
  </r>
  <r>
    <s v="T500"/>
    <x v="202"/>
    <x v="3"/>
    <x v="1"/>
    <s v="Green"/>
    <x v="2"/>
    <x v="0"/>
    <n v="5"/>
    <x v="2"/>
    <n v="47"/>
    <n v="89"/>
    <n v="235"/>
    <n v="445"/>
    <n v="210"/>
    <n v="0.471910112359550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74022A-E7DC-45BD-B7C1-A15FA8720347}" name="PivotTable1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Product">
  <location ref="A3:B12" firstHeaderRow="1" firstDataRow="1" firstDataCol="1"/>
  <pivotFields count="18">
    <pivotField showAll="0"/>
    <pivotField numFmtId="22" showAll="0">
      <items count="2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t="default"/>
      </items>
    </pivotField>
    <pivotField axis="axisRow" showAll="0" sortType="ascending">
      <items count="9">
        <item x="1"/>
        <item x="5"/>
        <item x="6"/>
        <item x="7"/>
        <item x="4"/>
        <item x="2"/>
        <item x="3"/>
        <item x="0"/>
        <item t="default"/>
      </items>
      <autoSortScope>
        <pivotArea dataOnly="0" outline="0" fieldPosition="0">
          <references count="1">
            <reference field="4294967294" count="1" selected="0">
              <x v="0"/>
            </reference>
          </references>
        </pivotArea>
      </autoSortScope>
    </pivotField>
    <pivotField showAll="0">
      <items count="5">
        <item x="0"/>
        <item x="1"/>
        <item x="3"/>
        <item x="2"/>
        <item t="default"/>
      </items>
    </pivotField>
    <pivotField showAll="0"/>
    <pivotField showAll="0"/>
    <pivotField showAll="0"/>
    <pivotField showAll="0"/>
    <pivotField showAll="0"/>
    <pivotField showAll="0"/>
    <pivotField showAll="0"/>
    <pivotField showAll="0"/>
    <pivotField dataField="1" showAll="0"/>
    <pivotField showAll="0"/>
    <pivotField numFmtId="9" showAll="0"/>
    <pivotField dragToRow="0" dragToCol="0" dragToPage="0" showAll="0" defaultSubtota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9">
    <i>
      <x v="4"/>
    </i>
    <i>
      <x v="5"/>
    </i>
    <i>
      <x v="7"/>
    </i>
    <i>
      <x/>
    </i>
    <i>
      <x v="6"/>
    </i>
    <i>
      <x v="2"/>
    </i>
    <i>
      <x v="1"/>
    </i>
    <i>
      <x v="3"/>
    </i>
    <i t="grand">
      <x/>
    </i>
  </rowItems>
  <colItems count="1">
    <i/>
  </colItems>
  <dataFields count="1">
    <dataField name="Revenue " fld="12" baseField="0" baseItem="1" numFmtId="167"/>
  </dataFields>
  <formats count="10">
    <format dxfId="1804">
      <pivotArea type="all" dataOnly="0" outline="0" fieldPosition="0"/>
    </format>
    <format dxfId="1803">
      <pivotArea type="all" dataOnly="0" outline="0" fieldPosition="0"/>
    </format>
    <format dxfId="1802">
      <pivotArea outline="0" collapsedLevelsAreSubtotals="1" fieldPosition="0"/>
    </format>
    <format dxfId="1801">
      <pivotArea dataOnly="0" labelOnly="1" outline="0" fieldPosition="0">
        <references count="1">
          <reference field="4294967294" count="1">
            <x v="0"/>
          </reference>
        </references>
      </pivotArea>
    </format>
    <format dxfId="1800">
      <pivotArea outline="0" collapsedLevelsAreSubtotals="1" fieldPosition="0">
        <references count="1">
          <reference field="4294967294" count="1" selected="0">
            <x v="0"/>
          </reference>
        </references>
      </pivotArea>
    </format>
    <format dxfId="1799">
      <pivotArea type="all" dataOnly="0" outline="0" fieldPosition="0"/>
    </format>
    <format dxfId="1798">
      <pivotArea outline="0" collapsedLevelsAreSubtotals="1" fieldPosition="0"/>
    </format>
    <format dxfId="1797">
      <pivotArea field="17" type="button" dataOnly="0" labelOnly="1" outline="0"/>
    </format>
    <format dxfId="1796">
      <pivotArea dataOnly="0" labelOnly="1" grandRow="1" outline="0" fieldPosition="0"/>
    </format>
    <format dxfId="1795">
      <pivotArea dataOnly="0" labelOnly="1" outline="0" fieldPosition="0">
        <references count="1">
          <reference field="4294967294" count="1">
            <x v="0"/>
          </reference>
        </references>
      </pivotArea>
    </format>
  </formats>
  <chartFormats count="3">
    <chartFormat chart="12"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DCC40A-C406-4C6A-B090-CA47E9EE94F9}" name="PivotTable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Brand" fieldListSortAscending="1">
  <location ref="BD3:BE8" firstHeaderRow="1" firstDataRow="1" firstDataCol="1"/>
  <pivotFields count="18">
    <pivotField showAll="0"/>
    <pivotField numFmtId="22" showAll="0">
      <items count="2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t="default"/>
      </items>
    </pivotField>
    <pivotField showAll="0"/>
    <pivotField axis="axisRow" showAll="0" sortType="descending">
      <items count="5">
        <item x="0"/>
        <item x="1"/>
        <item sd="0" x="3"/>
        <item sd="0"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numFmtId="9" showAll="0"/>
    <pivotField dragToRow="0" dragToCol="0" dragToPage="0" showAll="0" defaultSubtota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v="1"/>
    </i>
    <i>
      <x/>
    </i>
    <i>
      <x v="2"/>
    </i>
    <i>
      <x v="3"/>
    </i>
    <i t="grand">
      <x/>
    </i>
  </rowItems>
  <colItems count="1">
    <i/>
  </colItems>
  <dataFields count="1">
    <dataField name="Revenue " fld="12" baseField="5" baseItem="0"/>
  </dataFields>
  <formats count="12">
    <format dxfId="1687">
      <pivotArea type="all" dataOnly="0" outline="0" fieldPosition="0"/>
    </format>
    <format dxfId="1686">
      <pivotArea type="all" dataOnly="0" outline="0" fieldPosition="0"/>
    </format>
    <format dxfId="1685">
      <pivotArea outline="0" collapsedLevelsAreSubtotals="1" fieldPosition="0"/>
    </format>
    <format dxfId="1684">
      <pivotArea type="all" dataOnly="0" outline="0" fieldPosition="0"/>
    </format>
    <format dxfId="1683">
      <pivotArea outline="0" collapsedLevelsAreSubtotals="1" fieldPosition="0"/>
    </format>
    <format dxfId="1682">
      <pivotArea field="17" type="button" dataOnly="0" labelOnly="1" outline="0"/>
    </format>
    <format dxfId="1681">
      <pivotArea dataOnly="0" labelOnly="1" grandRow="1" outline="0" fieldPosition="0"/>
    </format>
    <format dxfId="1680">
      <pivotArea field="5" grandRow="1" outline="0" collapsedLevelsAreSubtotals="1">
        <references count="1">
          <reference field="4294967294" count="1" selected="0">
            <x v="0"/>
          </reference>
        </references>
      </pivotArea>
    </format>
    <format dxfId="1679">
      <pivotArea dataOnly="0" labelOnly="1" outline="0" fieldPosition="0">
        <references count="1">
          <reference field="4294967294" count="1">
            <x v="0"/>
          </reference>
        </references>
      </pivotArea>
    </format>
    <format dxfId="1678">
      <pivotArea outline="0" collapsedLevelsAreSubtotals="1" fieldPosition="0">
        <references count="1">
          <reference field="4294967294" count="1" selected="0">
            <x v="0"/>
          </reference>
        </references>
      </pivotArea>
    </format>
    <format dxfId="1677">
      <pivotArea dataOnly="0" labelOnly="1" outline="0" fieldPosition="0">
        <references count="1">
          <reference field="4294967294" count="1">
            <x v="0"/>
          </reference>
        </references>
      </pivotArea>
    </format>
    <format dxfId="1676">
      <pivotArea collapsedLevelsAreSubtotals="1" fieldPosition="0">
        <references count="1">
          <reference field="3" count="0"/>
        </references>
      </pivotArea>
    </format>
  </formats>
  <chartFormats count="26">
    <chartFormat chart="14"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0" format="2">
      <pivotArea type="data" outline="0" fieldPosition="0">
        <references count="2">
          <reference field="4294967294" count="1" selected="0">
            <x v="0"/>
          </reference>
          <reference field="3" count="1" selected="0">
            <x v="1"/>
          </reference>
        </references>
      </pivotArea>
    </chartFormat>
    <chartFormat chart="20" format="3">
      <pivotArea type="data" outline="0" fieldPosition="0">
        <references count="2">
          <reference field="4294967294" count="1" selected="0">
            <x v="0"/>
          </reference>
          <reference field="3" count="1" selected="0">
            <x v="0"/>
          </reference>
        </references>
      </pivotArea>
    </chartFormat>
    <chartFormat chart="20" format="4">
      <pivotArea type="data" outline="0" fieldPosition="0">
        <references count="2">
          <reference field="4294967294" count="1" selected="0">
            <x v="0"/>
          </reference>
          <reference field="3" count="1" selected="0">
            <x v="3"/>
          </reference>
        </references>
      </pivotArea>
    </chartFormat>
    <chartFormat chart="20" format="5">
      <pivotArea type="data" outline="0" fieldPosition="0">
        <references count="2">
          <reference field="4294967294" count="1" selected="0">
            <x v="0"/>
          </reference>
          <reference field="3" count="1" selected="0">
            <x v="2"/>
          </reference>
        </references>
      </pivotArea>
    </chartFormat>
    <chartFormat chart="27" format="11" series="1">
      <pivotArea type="data" outline="0" fieldPosition="0">
        <references count="1">
          <reference field="4294967294" count="1" selected="0">
            <x v="0"/>
          </reference>
        </references>
      </pivotArea>
    </chartFormat>
    <chartFormat chart="27" format="12">
      <pivotArea type="data" outline="0" fieldPosition="0">
        <references count="2">
          <reference field="4294967294" count="1" selected="0">
            <x v="0"/>
          </reference>
          <reference field="3" count="1" selected="0">
            <x v="0"/>
          </reference>
        </references>
      </pivotArea>
    </chartFormat>
    <chartFormat chart="27" format="13">
      <pivotArea type="data" outline="0" fieldPosition="0">
        <references count="2">
          <reference field="4294967294" count="1" selected="0">
            <x v="0"/>
          </reference>
          <reference field="3" count="1" selected="0">
            <x v="1"/>
          </reference>
        </references>
      </pivotArea>
    </chartFormat>
    <chartFormat chart="27" format="14">
      <pivotArea type="data" outline="0" fieldPosition="0">
        <references count="2">
          <reference field="4294967294" count="1" selected="0">
            <x v="0"/>
          </reference>
          <reference field="3" count="1" selected="0">
            <x v="2"/>
          </reference>
        </references>
      </pivotArea>
    </chartFormat>
    <chartFormat chart="27" format="15">
      <pivotArea type="data" outline="0" fieldPosition="0">
        <references count="2">
          <reference field="4294967294" count="1" selected="0">
            <x v="0"/>
          </reference>
          <reference field="3" count="1" selected="0">
            <x v="3"/>
          </reference>
        </references>
      </pivotArea>
    </chartFormat>
    <chartFormat chart="30" format="6" series="1">
      <pivotArea type="data" outline="0" fieldPosition="0">
        <references count="1">
          <reference field="4294967294" count="1" selected="0">
            <x v="0"/>
          </reference>
        </references>
      </pivotArea>
    </chartFormat>
    <chartFormat chart="30" format="7">
      <pivotArea type="data" outline="0" fieldPosition="0">
        <references count="2">
          <reference field="4294967294" count="1" selected="0">
            <x v="0"/>
          </reference>
          <reference field="3" count="1" selected="0">
            <x v="1"/>
          </reference>
        </references>
      </pivotArea>
    </chartFormat>
    <chartFormat chart="30" format="8">
      <pivotArea type="data" outline="0" fieldPosition="0">
        <references count="2">
          <reference field="4294967294" count="1" selected="0">
            <x v="0"/>
          </reference>
          <reference field="3" count="1" selected="0">
            <x v="0"/>
          </reference>
        </references>
      </pivotArea>
    </chartFormat>
    <chartFormat chart="30" format="9">
      <pivotArea type="data" outline="0" fieldPosition="0">
        <references count="2">
          <reference field="4294967294" count="1" selected="0">
            <x v="0"/>
          </reference>
          <reference field="3" count="1" selected="0">
            <x v="2"/>
          </reference>
        </references>
      </pivotArea>
    </chartFormat>
    <chartFormat chart="30" format="10">
      <pivotArea type="data" outline="0" fieldPosition="0">
        <references count="2">
          <reference field="4294967294" count="1" selected="0">
            <x v="0"/>
          </reference>
          <reference field="3" count="1" selected="0">
            <x v="3"/>
          </reference>
        </references>
      </pivotArea>
    </chartFormat>
    <chartFormat chart="31" format="11" series="1">
      <pivotArea type="data" outline="0" fieldPosition="0">
        <references count="1">
          <reference field="4294967294" count="1" selected="0">
            <x v="0"/>
          </reference>
        </references>
      </pivotArea>
    </chartFormat>
    <chartFormat chart="31" format="12">
      <pivotArea type="data" outline="0" fieldPosition="0">
        <references count="2">
          <reference field="4294967294" count="1" selected="0">
            <x v="0"/>
          </reference>
          <reference field="3" count="1" selected="0">
            <x v="1"/>
          </reference>
        </references>
      </pivotArea>
    </chartFormat>
    <chartFormat chart="31" format="13">
      <pivotArea type="data" outline="0" fieldPosition="0">
        <references count="2">
          <reference field="4294967294" count="1" selected="0">
            <x v="0"/>
          </reference>
          <reference field="3" count="1" selected="0">
            <x v="0"/>
          </reference>
        </references>
      </pivotArea>
    </chartFormat>
    <chartFormat chart="31" format="14">
      <pivotArea type="data" outline="0" fieldPosition="0">
        <references count="2">
          <reference field="4294967294" count="1" selected="0">
            <x v="0"/>
          </reference>
          <reference field="3" count="1" selected="0">
            <x v="2"/>
          </reference>
        </references>
      </pivotArea>
    </chartFormat>
    <chartFormat chart="31" format="15">
      <pivotArea type="data" outline="0" fieldPosition="0">
        <references count="2">
          <reference field="4294967294" count="1" selected="0">
            <x v="0"/>
          </reference>
          <reference field="3" count="1" selected="0">
            <x v="3"/>
          </reference>
        </references>
      </pivotArea>
    </chartFormat>
    <chartFormat chart="32" format="11" series="1">
      <pivotArea type="data" outline="0" fieldPosition="0">
        <references count="1">
          <reference field="4294967294" count="1" selected="0">
            <x v="0"/>
          </reference>
        </references>
      </pivotArea>
    </chartFormat>
    <chartFormat chart="32" format="12">
      <pivotArea type="data" outline="0" fieldPosition="0">
        <references count="2">
          <reference field="4294967294" count="1" selected="0">
            <x v="0"/>
          </reference>
          <reference field="3" count="1" selected="0">
            <x v="1"/>
          </reference>
        </references>
      </pivotArea>
    </chartFormat>
    <chartFormat chart="32" format="13">
      <pivotArea type="data" outline="0" fieldPosition="0">
        <references count="2">
          <reference field="4294967294" count="1" selected="0">
            <x v="0"/>
          </reference>
          <reference field="3" count="1" selected="0">
            <x v="0"/>
          </reference>
        </references>
      </pivotArea>
    </chartFormat>
    <chartFormat chart="32" format="14">
      <pivotArea type="data" outline="0" fieldPosition="0">
        <references count="2">
          <reference field="4294967294" count="1" selected="0">
            <x v="0"/>
          </reference>
          <reference field="3" count="1" selected="0">
            <x v="2"/>
          </reference>
        </references>
      </pivotArea>
    </chartFormat>
    <chartFormat chart="32" format="15">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A749DD-031E-4073-9F82-9E0BE044B232}"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Product">
  <location ref="T3:V12" firstHeaderRow="0" firstDataRow="1" firstDataCol="1"/>
  <pivotFields count="18">
    <pivotField showAll="0"/>
    <pivotField numFmtId="22" showAll="0">
      <items count="2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t="default"/>
      </items>
    </pivotField>
    <pivotField axis="axisRow" showAll="0" sortType="descending">
      <items count="9">
        <item x="1"/>
        <item x="5"/>
        <item x="6"/>
        <item x="7"/>
        <item x="4"/>
        <item x="2"/>
        <item x="3"/>
        <item x="0"/>
        <item t="default"/>
      </items>
      <autoSortScope>
        <pivotArea dataOnly="0" outline="0" fieldPosition="0">
          <references count="1">
            <reference field="4294967294" count="1" selected="0">
              <x v="0"/>
            </reference>
          </references>
        </pivotArea>
      </autoSortScope>
    </pivotField>
    <pivotField showAll="0">
      <items count="5">
        <item x="0"/>
        <item x="1"/>
        <item x="3"/>
        <item x="2"/>
        <item t="default"/>
      </items>
    </pivotField>
    <pivotField showAll="0"/>
    <pivotField showAll="0"/>
    <pivotField showAll="0"/>
    <pivotField dataField="1" showAll="0"/>
    <pivotField showAll="0"/>
    <pivotField showAll="0"/>
    <pivotField showAll="0"/>
    <pivotField showAll="0"/>
    <pivotField dataField="1" showAll="0"/>
    <pivotField showAll="0"/>
    <pivotField numFmtId="9" showAll="0"/>
    <pivotField dragToRow="0" dragToCol="0" dragToPage="0" showAll="0" defaultSubtota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9">
    <i>
      <x v="3"/>
    </i>
    <i>
      <x v="1"/>
    </i>
    <i>
      <x v="2"/>
    </i>
    <i>
      <x v="6"/>
    </i>
    <i>
      <x/>
    </i>
    <i>
      <x v="7"/>
    </i>
    <i>
      <x v="5"/>
    </i>
    <i>
      <x v="4"/>
    </i>
    <i t="grand">
      <x/>
    </i>
  </rowItems>
  <colFields count="1">
    <field x="-2"/>
  </colFields>
  <colItems count="2">
    <i>
      <x/>
    </i>
    <i i="1">
      <x v="1"/>
    </i>
  </colItems>
  <dataFields count="2">
    <dataField name="Revenue " fld="12" baseField="0" baseItem="1" numFmtId="167"/>
    <dataField name="Qty Sold" fld="7" baseField="2" baseItem="0"/>
  </dataFields>
  <formats count="11">
    <format dxfId="1698">
      <pivotArea type="all" dataOnly="0" outline="0" fieldPosition="0"/>
    </format>
    <format dxfId="1697">
      <pivotArea type="all" dataOnly="0" outline="0" fieldPosition="0"/>
    </format>
    <format dxfId="1696">
      <pivotArea outline="0" collapsedLevelsAreSubtotals="1" fieldPosition="0"/>
    </format>
    <format dxfId="1695">
      <pivotArea dataOnly="0" labelOnly="1" outline="0" fieldPosition="0">
        <references count="1">
          <reference field="4294967294" count="1">
            <x v="0"/>
          </reference>
        </references>
      </pivotArea>
    </format>
    <format dxfId="1694">
      <pivotArea outline="0" collapsedLevelsAreSubtotals="1" fieldPosition="0">
        <references count="1">
          <reference field="4294967294" count="1" selected="0">
            <x v="0"/>
          </reference>
        </references>
      </pivotArea>
    </format>
    <format dxfId="1693">
      <pivotArea type="all" dataOnly="0" outline="0" fieldPosition="0"/>
    </format>
    <format dxfId="1692">
      <pivotArea outline="0" collapsedLevelsAreSubtotals="1" fieldPosition="0"/>
    </format>
    <format dxfId="1691">
      <pivotArea field="17" type="button" dataOnly="0" labelOnly="1" outline="0"/>
    </format>
    <format dxfId="1690">
      <pivotArea dataOnly="0" labelOnly="1" grandRow="1" outline="0" fieldPosition="0"/>
    </format>
    <format dxfId="1689">
      <pivotArea dataOnly="0" labelOnly="1" outline="0" fieldPosition="0">
        <references count="1">
          <reference field="4294967294" count="1">
            <x v="0"/>
          </reference>
        </references>
      </pivotArea>
    </format>
    <format dxfId="1688">
      <pivotArea field="2" grandRow="1" outline="0" collapsedLevelsAreSubtotals="1" axis="axisRow"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E8BFF2-6CA6-4A89-87F5-86E6C9792A06}" name="PivotTable1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Product" colHeaderCaption="Payment Method" fieldListSortAscending="1">
  <location ref="BW3:CB13" firstHeaderRow="1" firstDataRow="2" firstDataCol="1"/>
  <pivotFields count="18">
    <pivotField dataField="1" showAll="0"/>
    <pivotField numFmtId="22" showAll="0">
      <items count="2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t="default"/>
      </items>
    </pivotField>
    <pivotField axis="axisRow" showAll="0" sortType="descending">
      <items count="9">
        <item x="1"/>
        <item x="6"/>
        <item x="7"/>
        <item x="4"/>
        <item x="2"/>
        <item x="3"/>
        <item x="5"/>
        <item x="0"/>
        <item t="default"/>
      </items>
      <autoSortScope>
        <pivotArea dataOnly="0" outline="0" fieldPosition="0">
          <references count="2">
            <reference field="4294967294" count="1" selected="0">
              <x v="0"/>
            </reference>
            <reference field="8" count="1" selected="0">
              <x v="1"/>
            </reference>
          </references>
        </pivotArea>
      </autoSortScope>
    </pivotField>
    <pivotField showAll="0">
      <items count="5">
        <item x="0"/>
        <item x="1"/>
        <item x="3"/>
        <item x="2"/>
        <item t="default"/>
      </items>
    </pivotField>
    <pivotField showAll="0"/>
    <pivotField showAll="0"/>
    <pivotField showAll="0"/>
    <pivotField showAll="0"/>
    <pivotField axis="axisCol" showAll="0">
      <items count="5">
        <item x="1"/>
        <item x="3"/>
        <item x="0"/>
        <item x="2"/>
        <item t="default"/>
      </items>
    </pivotField>
    <pivotField showAll="0"/>
    <pivotField showAll="0"/>
    <pivotField showAll="0"/>
    <pivotField showAll="0"/>
    <pivotField showAll="0"/>
    <pivotField numFmtId="9" showAll="0"/>
    <pivotField dragToRow="0" dragToCol="0" dragToPage="0" showAll="0" defaultSubtota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9">
    <i>
      <x v="2"/>
    </i>
    <i>
      <x/>
    </i>
    <i>
      <x v="1"/>
    </i>
    <i>
      <x v="4"/>
    </i>
    <i>
      <x v="5"/>
    </i>
    <i>
      <x v="6"/>
    </i>
    <i>
      <x v="3"/>
    </i>
    <i>
      <x v="7"/>
    </i>
    <i t="grand">
      <x/>
    </i>
  </rowItems>
  <colFields count="1">
    <field x="8"/>
  </colFields>
  <colItems count="5">
    <i>
      <x/>
    </i>
    <i>
      <x v="1"/>
    </i>
    <i>
      <x v="2"/>
    </i>
    <i>
      <x v="3"/>
    </i>
    <i t="grand">
      <x/>
    </i>
  </colItems>
  <dataFields count="1">
    <dataField name="Transactions" fld="0" subtotal="count" baseField="0" baseItem="0"/>
  </dataFields>
  <formats count="28">
    <format dxfId="1726">
      <pivotArea type="all" dataOnly="0" outline="0" fieldPosition="0"/>
    </format>
    <format dxfId="1725">
      <pivotArea type="all" dataOnly="0" outline="0" fieldPosition="0"/>
    </format>
    <format dxfId="1724">
      <pivotArea outline="0" collapsedLevelsAreSubtotals="1" fieldPosition="0"/>
    </format>
    <format dxfId="1723">
      <pivotArea type="all" dataOnly="0" outline="0" fieldPosition="0"/>
    </format>
    <format dxfId="1722">
      <pivotArea outline="0" collapsedLevelsAreSubtotals="1" fieldPosition="0"/>
    </format>
    <format dxfId="1721">
      <pivotArea field="17" type="button" dataOnly="0" labelOnly="1" outline="0"/>
    </format>
    <format dxfId="1720">
      <pivotArea dataOnly="0" labelOnly="1" grandRow="1" outline="0" fieldPosition="0"/>
    </format>
    <format dxfId="1719">
      <pivotArea collapsedLevelsAreSubtotals="1" fieldPosition="0">
        <references count="1">
          <reference field="8" count="1">
            <x v="1"/>
          </reference>
        </references>
      </pivotArea>
    </format>
    <format dxfId="1718">
      <pivotArea collapsedLevelsAreSubtotals="1" fieldPosition="0">
        <references count="1">
          <reference field="8" count="1">
            <x v="0"/>
          </reference>
        </references>
      </pivotArea>
    </format>
    <format dxfId="1717">
      <pivotArea collapsedLevelsAreSubtotals="1" fieldPosition="0">
        <references count="1">
          <reference field="8" count="1">
            <x v="2"/>
          </reference>
        </references>
      </pivotArea>
    </format>
    <format dxfId="1716">
      <pivotArea collapsedLevelsAreSubtotals="1" fieldPosition="0">
        <references count="1">
          <reference field="8" count="1">
            <x v="3"/>
          </reference>
        </references>
      </pivotArea>
    </format>
    <format dxfId="1715">
      <pivotArea field="2" grandCol="1" collapsedLevelsAreSubtotals="1" axis="axisRow" fieldPosition="0">
        <references count="1">
          <reference field="2" count="0"/>
        </references>
      </pivotArea>
    </format>
    <format dxfId="1714">
      <pivotArea outline="0" collapsedLevelsAreSubtotals="1" fieldPosition="0"/>
    </format>
    <format dxfId="1713">
      <pivotArea collapsedLevelsAreSubtotals="1" fieldPosition="0">
        <references count="2">
          <reference field="2" count="1">
            <x v="3"/>
          </reference>
          <reference field="8" count="1" selected="0">
            <x v="0"/>
          </reference>
        </references>
      </pivotArea>
    </format>
    <format dxfId="1712">
      <pivotArea collapsedLevelsAreSubtotals="1" fieldPosition="0">
        <references count="2">
          <reference field="2" count="1">
            <x v="1"/>
          </reference>
          <reference field="8" count="1" selected="0">
            <x v="1"/>
          </reference>
        </references>
      </pivotArea>
    </format>
    <format dxfId="1711">
      <pivotArea collapsedLevelsAreSubtotals="1" fieldPosition="0">
        <references count="2">
          <reference field="2" count="1">
            <x v="6"/>
          </reference>
          <reference field="8" count="1" selected="0">
            <x v="0"/>
          </reference>
        </references>
      </pivotArea>
    </format>
    <format dxfId="1710">
      <pivotArea collapsedLevelsAreSubtotals="1" fieldPosition="0">
        <references count="2">
          <reference field="2" count="1">
            <x v="4"/>
          </reference>
          <reference field="8" count="1" selected="0">
            <x v="1"/>
          </reference>
        </references>
      </pivotArea>
    </format>
    <format dxfId="1709">
      <pivotArea collapsedLevelsAreSubtotals="1" fieldPosition="0">
        <references count="2">
          <reference field="2" count="1">
            <x v="7"/>
          </reference>
          <reference field="8" count="1" selected="0">
            <x v="0"/>
          </reference>
        </references>
      </pivotArea>
    </format>
    <format dxfId="1708">
      <pivotArea collapsedLevelsAreSubtotals="1" fieldPosition="0">
        <references count="1">
          <reference field="2" count="0"/>
        </references>
      </pivotArea>
    </format>
    <format dxfId="1707">
      <pivotArea collapsedLevelsAreSubtotals="1" fieldPosition="0">
        <references count="2">
          <reference field="2" count="4">
            <x v="0"/>
            <x v="1"/>
            <x v="2"/>
            <x v="4"/>
          </reference>
          <reference field="8" count="1" selected="0">
            <x v="1"/>
          </reference>
        </references>
      </pivotArea>
    </format>
    <format dxfId="1706">
      <pivotArea collapsedLevelsAreSubtotals="1" fieldPosition="0">
        <references count="2">
          <reference field="2" count="4">
            <x v="0"/>
            <x v="1"/>
            <x v="2"/>
            <x v="4"/>
          </reference>
          <reference field="8" count="1" selected="0">
            <x v="1"/>
          </reference>
        </references>
      </pivotArea>
    </format>
    <format dxfId="1705">
      <pivotArea collapsedLevelsAreSubtotals="1" fieldPosition="0">
        <references count="2">
          <reference field="2" count="3">
            <x v="3"/>
            <x v="6"/>
            <x v="7"/>
          </reference>
          <reference field="8" count="1" selected="0">
            <x v="0"/>
          </reference>
        </references>
      </pivotArea>
    </format>
    <format dxfId="1704">
      <pivotArea collapsedLevelsAreSubtotals="1" fieldPosition="0">
        <references count="2">
          <reference field="2" count="3">
            <x v="3"/>
            <x v="6"/>
            <x v="7"/>
          </reference>
          <reference field="8" count="1" selected="0">
            <x v="0"/>
          </reference>
        </references>
      </pivotArea>
    </format>
    <format dxfId="1703">
      <pivotArea collapsedLevelsAreSubtotals="1" fieldPosition="0">
        <references count="2">
          <reference field="2" count="1">
            <x v="2"/>
          </reference>
          <reference field="8" count="1" selected="0">
            <x v="3"/>
          </reference>
        </references>
      </pivotArea>
    </format>
    <format dxfId="1702">
      <pivotArea collapsedLevelsAreSubtotals="1" fieldPosition="0">
        <references count="2">
          <reference field="2" count="1">
            <x v="2"/>
          </reference>
          <reference field="8" count="1" selected="0">
            <x v="3"/>
          </reference>
        </references>
      </pivotArea>
    </format>
    <format dxfId="1701">
      <pivotArea dataOnly="0" labelOnly="1" fieldPosition="0">
        <references count="1">
          <reference field="8" count="1">
            <x v="0"/>
          </reference>
        </references>
      </pivotArea>
    </format>
    <format dxfId="1700">
      <pivotArea collapsedLevelsAreSubtotals="1" fieldPosition="0">
        <references count="2">
          <reference field="2" count="1">
            <x v="2"/>
          </reference>
          <reference field="8" count="1" selected="0">
            <x v="1"/>
          </reference>
        </references>
      </pivotArea>
    </format>
    <format dxfId="1699">
      <pivotArea collapsedLevelsAreSubtotals="1" fieldPosition="0">
        <references count="2">
          <reference field="2" count="1">
            <x v="5"/>
          </reference>
          <reference field="8" count="1" selected="0">
            <x v="2"/>
          </reference>
        </references>
      </pivotArea>
    </format>
  </formats>
  <chartFormats count="4">
    <chartFormat chart="25" format="0" series="1">
      <pivotArea type="data" outline="0" fieldPosition="0">
        <references count="2">
          <reference field="4294967294" count="1" selected="0">
            <x v="0"/>
          </reference>
          <reference field="8" count="1" selected="0">
            <x v="1"/>
          </reference>
        </references>
      </pivotArea>
    </chartFormat>
    <chartFormat chart="25" format="1" series="1">
      <pivotArea type="data" outline="0" fieldPosition="0">
        <references count="2">
          <reference field="4294967294" count="1" selected="0">
            <x v="0"/>
          </reference>
          <reference field="8" count="1" selected="0">
            <x v="0"/>
          </reference>
        </references>
      </pivotArea>
    </chartFormat>
    <chartFormat chart="25" format="2" series="1">
      <pivotArea type="data" outline="0" fieldPosition="0">
        <references count="2">
          <reference field="4294967294" count="1" selected="0">
            <x v="0"/>
          </reference>
          <reference field="8" count="1" selected="0">
            <x v="2"/>
          </reference>
        </references>
      </pivotArea>
    </chartFormat>
    <chartFormat chart="25" format="3" series="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7627F9-D5D5-49B5-8A65-659324DCBD8D}" name="PivotTable10"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rowHeaderCaption="Country">
  <location ref="BN3:BP9" firstHeaderRow="0" firstDataRow="1" firstDataCol="1"/>
  <pivotFields count="18">
    <pivotField showAll="0"/>
    <pivotField numFmtId="22" showAll="0">
      <items count="2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t="default"/>
      </items>
    </pivotField>
    <pivotField showAll="0" sortType="descending">
      <autoSortScope>
        <pivotArea dataOnly="0" outline="0" fieldPosition="0">
          <references count="1">
            <reference field="4294967294" count="1" selected="0">
              <x v="0"/>
            </reference>
          </references>
        </pivotArea>
      </autoSortScope>
    </pivotField>
    <pivotField showAll="0">
      <items count="5">
        <item x="0"/>
        <item x="1"/>
        <item x="3"/>
        <item x="2"/>
        <item t="default"/>
      </items>
    </pivotField>
    <pivotField showAll="0"/>
    <pivotField showAll="0"/>
    <pivotField axis="axisRow" showAll="0" measureFilter="1" sortType="descending">
      <items count="15">
        <item x="10"/>
        <item x="12"/>
        <item x="2"/>
        <item x="3"/>
        <item x="9"/>
        <item x="8"/>
        <item x="1"/>
        <item x="13"/>
        <item x="4"/>
        <item x="5"/>
        <item x="6"/>
        <item x="11"/>
        <item x="0"/>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dataField="1" showAll="0"/>
    <pivotField numFmtId="9" showAll="0"/>
    <pivotField dragToRow="0" dragToCol="0" dragToPage="0" showAll="0" defaultSubtota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6">
    <i>
      <x v="12"/>
    </i>
    <i>
      <x v="11"/>
    </i>
    <i>
      <x v="5"/>
    </i>
    <i>
      <x v="13"/>
    </i>
    <i>
      <x v="6"/>
    </i>
    <i t="grand">
      <x/>
    </i>
  </rowItems>
  <colFields count="1">
    <field x="-2"/>
  </colFields>
  <colItems count="2">
    <i>
      <x/>
    </i>
    <i i="1">
      <x v="1"/>
    </i>
  </colItems>
  <dataFields count="2">
    <dataField name="Revenue " fld="12" baseField="0" baseItem="1" numFmtId="167"/>
    <dataField name=" Profit" fld="13" baseField="6" baseItem="12"/>
  </dataFields>
  <formats count="13">
    <format dxfId="1739">
      <pivotArea type="all" dataOnly="0" outline="0" fieldPosition="0"/>
    </format>
    <format dxfId="1738">
      <pivotArea type="all" dataOnly="0" outline="0" fieldPosition="0"/>
    </format>
    <format dxfId="1737">
      <pivotArea outline="0" collapsedLevelsAreSubtotals="1" fieldPosition="0"/>
    </format>
    <format dxfId="1736">
      <pivotArea dataOnly="0" labelOnly="1" outline="0" fieldPosition="0">
        <references count="1">
          <reference field="4294967294" count="1">
            <x v="0"/>
          </reference>
        </references>
      </pivotArea>
    </format>
    <format dxfId="1735">
      <pivotArea outline="0" collapsedLevelsAreSubtotals="1" fieldPosition="0">
        <references count="1">
          <reference field="4294967294" count="1" selected="0">
            <x v="0"/>
          </reference>
        </references>
      </pivotArea>
    </format>
    <format dxfId="1734">
      <pivotArea type="all" dataOnly="0" outline="0" fieldPosition="0"/>
    </format>
    <format dxfId="1733">
      <pivotArea outline="0" collapsedLevelsAreSubtotals="1" fieldPosition="0"/>
    </format>
    <format dxfId="1732">
      <pivotArea field="17" type="button" dataOnly="0" labelOnly="1" outline="0"/>
    </format>
    <format dxfId="1731">
      <pivotArea dataOnly="0" labelOnly="1" grandRow="1" outline="0" fieldPosition="0"/>
    </format>
    <format dxfId="1730">
      <pivotArea dataOnly="0" labelOnly="1" outline="0" fieldPosition="0">
        <references count="1">
          <reference field="4294967294" count="1">
            <x v="0"/>
          </reference>
        </references>
      </pivotArea>
    </format>
    <format dxfId="1729">
      <pivotArea collapsedLevelsAreSubtotals="1" fieldPosition="0">
        <references count="2">
          <reference field="4294967294" count="1" selected="0">
            <x v="1"/>
          </reference>
          <reference field="6" count="5">
            <x v="5"/>
            <x v="6"/>
            <x v="11"/>
            <x v="12"/>
            <x v="13"/>
          </reference>
        </references>
      </pivotArea>
    </format>
    <format dxfId="1728">
      <pivotArea collapsedLevelsAreSubtotals="1" fieldPosition="0">
        <references count="2">
          <reference field="4294967294" count="1" selected="0">
            <x v="1"/>
          </reference>
          <reference field="6" count="5">
            <x v="5"/>
            <x v="6"/>
            <x v="11"/>
            <x v="12"/>
            <x v="13"/>
          </reference>
        </references>
      </pivotArea>
    </format>
    <format dxfId="1727">
      <pivotArea field="6" grandRow="1" outline="0" collapsedLevelsAreSubtotals="1" axis="axisRow" fieldPosition="0">
        <references count="1">
          <reference field="4294967294" count="1" selected="0">
            <x v="1"/>
          </reference>
        </references>
      </pivotArea>
    </format>
  </formats>
  <chartFormats count="18">
    <chartFormat chart="12"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1"/>
          </reference>
        </references>
      </pivotArea>
    </chartFormat>
    <chartFormat chart="15" format="3"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1"/>
          </reference>
        </references>
      </pivotArea>
    </chartFormat>
    <chartFormat chart="12" format="1" series="1">
      <pivotArea type="data" outline="0" fieldPosition="0">
        <references count="1">
          <reference field="4294967294" count="1" selected="0">
            <x v="1"/>
          </reference>
        </references>
      </pivotArea>
    </chartFormat>
    <chartFormat chart="12" format="2">
      <pivotArea type="data" outline="0" fieldPosition="0">
        <references count="2">
          <reference field="4294967294" count="1" selected="0">
            <x v="1"/>
          </reference>
          <reference field="6" count="1" selected="0">
            <x v="11"/>
          </reference>
        </references>
      </pivotArea>
    </chartFormat>
    <chartFormat chart="12" format="3">
      <pivotArea type="data" outline="0" fieldPosition="0">
        <references count="2">
          <reference field="4294967294" count="1" selected="0">
            <x v="1"/>
          </reference>
          <reference field="6" count="1" selected="0">
            <x v="12"/>
          </reference>
        </references>
      </pivotArea>
    </chartFormat>
    <chartFormat chart="12" format="4">
      <pivotArea type="data" outline="0" fieldPosition="0">
        <references count="2">
          <reference field="4294967294" count="1" selected="0">
            <x v="1"/>
          </reference>
          <reference field="6" count="1" selected="0">
            <x v="5"/>
          </reference>
        </references>
      </pivotArea>
    </chartFormat>
    <chartFormat chart="12" format="5">
      <pivotArea type="data" outline="0" fieldPosition="0">
        <references count="2">
          <reference field="4294967294" count="1" selected="0">
            <x v="1"/>
          </reference>
          <reference field="6" count="1" selected="0">
            <x v="13"/>
          </reference>
        </references>
      </pivotArea>
    </chartFormat>
    <chartFormat chart="12" format="6">
      <pivotArea type="data" outline="0" fieldPosition="0">
        <references count="2">
          <reference field="4294967294" count="1" selected="0">
            <x v="1"/>
          </reference>
          <reference field="6" count="1" selected="0">
            <x v="6"/>
          </reference>
        </references>
      </pivotArea>
    </chartFormat>
    <chartFormat chart="16" format="4">
      <pivotArea type="data" outline="0" fieldPosition="0">
        <references count="2">
          <reference field="4294967294" count="1" selected="0">
            <x v="1"/>
          </reference>
          <reference field="6" count="1" selected="0">
            <x v="12"/>
          </reference>
        </references>
      </pivotArea>
    </chartFormat>
    <chartFormat chart="16" format="5">
      <pivotArea type="data" outline="0" fieldPosition="0">
        <references count="2">
          <reference field="4294967294" count="1" selected="0">
            <x v="1"/>
          </reference>
          <reference field="6" count="1" selected="0">
            <x v="11"/>
          </reference>
        </references>
      </pivotArea>
    </chartFormat>
    <chartFormat chart="16" format="6">
      <pivotArea type="data" outline="0" fieldPosition="0">
        <references count="2">
          <reference field="4294967294" count="1" selected="0">
            <x v="1"/>
          </reference>
          <reference field="6" count="1" selected="0">
            <x v="5"/>
          </reference>
        </references>
      </pivotArea>
    </chartFormat>
    <chartFormat chart="16" format="7">
      <pivotArea type="data" outline="0" fieldPosition="0">
        <references count="2">
          <reference field="4294967294" count="1" selected="0">
            <x v="1"/>
          </reference>
          <reference field="6" count="1" selected="0">
            <x v="13"/>
          </reference>
        </references>
      </pivotArea>
    </chartFormat>
    <chartFormat chart="16" format="8">
      <pivotArea type="data" outline="0" fieldPosition="0">
        <references count="2">
          <reference field="4294967294" count="1" selected="0">
            <x v="1"/>
          </reference>
          <reference field="6" count="1" selected="0">
            <x v="6"/>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F83875-32EC-4EEF-B2C0-C9499A8C54C3}"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Product">
  <location ref="AG3:AI12" firstHeaderRow="0" firstDataRow="1" firstDataCol="1"/>
  <pivotFields count="18">
    <pivotField showAll="0"/>
    <pivotField numFmtId="22" showAll="0">
      <items count="2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t="default"/>
      </items>
    </pivotField>
    <pivotField axis="axisRow" showAll="0" sortType="descending">
      <items count="9">
        <item x="1"/>
        <item x="6"/>
        <item x="7"/>
        <item x="4"/>
        <item x="2"/>
        <item x="3"/>
        <item x="5"/>
        <item x="0"/>
        <item t="default"/>
      </items>
      <autoSortScope>
        <pivotArea dataOnly="0" outline="0" fieldPosition="0">
          <references count="1">
            <reference field="4294967294" count="1" selected="0">
              <x v="0"/>
            </reference>
          </references>
        </pivotArea>
      </autoSortScope>
    </pivotField>
    <pivotField showAll="0">
      <items count="5">
        <item x="0"/>
        <item x="1"/>
        <item x="3"/>
        <item x="2"/>
        <item t="default"/>
      </items>
    </pivotField>
    <pivotField showAll="0"/>
    <pivotField showAll="0"/>
    <pivotField showAll="0"/>
    <pivotField showAll="0"/>
    <pivotField showAll="0"/>
    <pivotField showAll="0"/>
    <pivotField showAll="0"/>
    <pivotField showAll="0"/>
    <pivotField showAll="0"/>
    <pivotField dataField="1" showAll="0"/>
    <pivotField numFmtId="9" showAll="0"/>
    <pivotField dataField="1" dragToRow="0" dragToCol="0" dragToPage="0" showAll="0" defaultSubtota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9">
    <i>
      <x v="2"/>
    </i>
    <i>
      <x v="6"/>
    </i>
    <i>
      <x v="1"/>
    </i>
    <i>
      <x v="5"/>
    </i>
    <i>
      <x/>
    </i>
    <i>
      <x v="7"/>
    </i>
    <i>
      <x v="4"/>
    </i>
    <i>
      <x v="3"/>
    </i>
    <i t="grand">
      <x/>
    </i>
  </rowItems>
  <colFields count="1">
    <field x="-2"/>
  </colFields>
  <colItems count="2">
    <i>
      <x/>
    </i>
    <i i="1">
      <x v="1"/>
    </i>
  </colItems>
  <dataFields count="2">
    <dataField name="Profit " fld="13" baseField="2" baseItem="0"/>
    <dataField name="% Profit Margin" fld="15" baseField="2" baseItem="2" numFmtId="166"/>
  </dataFields>
  <formats count="11">
    <format dxfId="1750">
      <pivotArea type="all" dataOnly="0" outline="0" fieldPosition="0"/>
    </format>
    <format dxfId="1749">
      <pivotArea type="all" dataOnly="0" outline="0" fieldPosition="0"/>
    </format>
    <format dxfId="1748">
      <pivotArea outline="0" collapsedLevelsAreSubtotals="1" fieldPosition="0"/>
    </format>
    <format dxfId="1747">
      <pivotArea type="all" dataOnly="0" outline="0" fieldPosition="0"/>
    </format>
    <format dxfId="1746">
      <pivotArea outline="0" collapsedLevelsAreSubtotals="1" fieldPosition="0"/>
    </format>
    <format dxfId="1745">
      <pivotArea field="17" type="button" dataOnly="0" labelOnly="1" outline="0"/>
    </format>
    <format dxfId="1744">
      <pivotArea dataOnly="0" labelOnly="1" grandRow="1" outline="0" fieldPosition="0"/>
    </format>
    <format dxfId="1743">
      <pivotArea collapsedLevelsAreSubtotals="1" fieldPosition="0">
        <references count="2">
          <reference field="4294967294" count="1" selected="0">
            <x v="1"/>
          </reference>
          <reference field="2" count="1">
            <x v="0"/>
          </reference>
        </references>
      </pivotArea>
    </format>
    <format dxfId="1742">
      <pivotArea collapsedLevelsAreSubtotals="1" fieldPosition="0">
        <references count="2">
          <reference field="4294967294" count="1" selected="0">
            <x v="0"/>
          </reference>
          <reference field="2" count="0"/>
        </references>
      </pivotArea>
    </format>
    <format dxfId="1741">
      <pivotArea field="2" grandRow="1" outline="0" collapsedLevelsAreSubtotals="1" axis="axisRow" fieldPosition="0">
        <references count="1">
          <reference field="4294967294" count="1" selected="0">
            <x v="0"/>
          </reference>
        </references>
      </pivotArea>
    </format>
    <format dxfId="1740">
      <pivotArea outline="0" collapsedLevelsAreSubtotals="1" fieldPosition="0">
        <references count="1">
          <reference field="4294967294" count="1" selected="0">
            <x v="1"/>
          </reference>
        </references>
      </pivotArea>
    </format>
  </formats>
  <conditionalFormats count="1">
    <conditionalFormat priority="1">
      <pivotAreas count="1">
        <pivotArea type="data" collapsedLevelsAreSubtotals="1" fieldPosition="0">
          <references count="2">
            <reference field="4294967294" count="1" selected="0">
              <x v="1"/>
            </reference>
            <reference field="2" count="8">
              <x v="0"/>
              <x v="1"/>
              <x v="2"/>
              <x v="3"/>
              <x v="4"/>
              <x v="5"/>
              <x v="6"/>
              <x v="7"/>
            </reference>
          </references>
        </pivotArea>
      </pivotAreas>
    </conditionalFormat>
  </conditionalFormats>
  <chartFormats count="4">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16" format="10" series="1">
      <pivotArea type="data" outline="0" fieldPosition="0">
        <references count="1">
          <reference field="4294967294" count="1" selected="0">
            <x v="0"/>
          </reference>
        </references>
      </pivotArea>
    </chartFormat>
    <chartFormat chart="16"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AF190B-AA15-408D-B0DA-262681D72566}" name="PivotTable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Brand">
  <location ref="AT3:AV9" firstHeaderRow="0" firstDataRow="1" firstDataCol="1"/>
  <pivotFields count="18">
    <pivotField showAll="0"/>
    <pivotField numFmtId="22" showAll="0">
      <items count="2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t="default"/>
      </items>
    </pivotField>
    <pivotField showAll="0" sortType="descending">
      <autoSortScope>
        <pivotArea dataOnly="0" outline="0" fieldPosition="0">
          <references count="1">
            <reference field="4294967294" count="1" selected="0">
              <x v="1"/>
            </reference>
          </references>
        </pivotArea>
      </autoSortScope>
    </pivotField>
    <pivotField showAll="0">
      <items count="5">
        <item x="0"/>
        <item x="1"/>
        <item x="3"/>
        <item x="2"/>
        <item t="default"/>
      </items>
    </pivotField>
    <pivotField showAll="0"/>
    <pivotField axis="axisRow" showAll="0" sortType="descending">
      <items count="6">
        <item x="0"/>
        <item x="4"/>
        <item x="1"/>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dataField="1" showAll="0"/>
    <pivotField numFmtId="9" showAll="0"/>
    <pivotField dragToRow="0" dragToCol="0" dragToPage="0" showAll="0" defaultSubtota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6">
    <i>
      <x/>
    </i>
    <i>
      <x v="4"/>
    </i>
    <i>
      <x v="1"/>
    </i>
    <i>
      <x v="2"/>
    </i>
    <i>
      <x v="3"/>
    </i>
    <i t="grand">
      <x/>
    </i>
  </rowItems>
  <colFields count="1">
    <field x="-2"/>
  </colFields>
  <colItems count="2">
    <i>
      <x/>
    </i>
    <i i="1">
      <x v="1"/>
    </i>
  </colItems>
  <dataFields count="2">
    <dataField name="Revenue " fld="12" baseField="5" baseItem="0"/>
    <dataField name="Profit " fld="13" baseField="2" baseItem="0"/>
  </dataFields>
  <formats count="15">
    <format dxfId="1765">
      <pivotArea type="all" dataOnly="0" outline="0" fieldPosition="0"/>
    </format>
    <format dxfId="1764">
      <pivotArea type="all" dataOnly="0" outline="0" fieldPosition="0"/>
    </format>
    <format dxfId="1763">
      <pivotArea outline="0" collapsedLevelsAreSubtotals="1" fieldPosition="0"/>
    </format>
    <format dxfId="1762">
      <pivotArea type="all" dataOnly="0" outline="0" fieldPosition="0"/>
    </format>
    <format dxfId="1761">
      <pivotArea outline="0" collapsedLevelsAreSubtotals="1" fieldPosition="0"/>
    </format>
    <format dxfId="1760">
      <pivotArea field="17" type="button" dataOnly="0" labelOnly="1" outline="0"/>
    </format>
    <format dxfId="1759">
      <pivotArea dataOnly="0" labelOnly="1" grandRow="1" outline="0" fieldPosition="0"/>
    </format>
    <format dxfId="1758">
      <pivotArea field="2" grandRow="1" outline="0" collapsedLevelsAreSubtotals="1">
        <references count="1">
          <reference field="4294967294" count="1" selected="0">
            <x v="1"/>
          </reference>
        </references>
      </pivotArea>
    </format>
    <format dxfId="1757">
      <pivotArea collapsedLevelsAreSubtotals="1" fieldPosition="0">
        <references count="1">
          <reference field="5" count="0"/>
        </references>
      </pivotArea>
    </format>
    <format dxfId="1756">
      <pivotArea field="5" grandRow="1" outline="0" collapsedLevelsAreSubtotals="1" axis="axisRow" fieldPosition="0">
        <references count="1">
          <reference field="4294967294" count="1" selected="0">
            <x v="0"/>
          </reference>
        </references>
      </pivotArea>
    </format>
    <format dxfId="1755">
      <pivotArea dataOnly="0" labelOnly="1" outline="0" fieldPosition="0">
        <references count="1">
          <reference field="4294967294" count="1">
            <x v="1"/>
          </reference>
        </references>
      </pivotArea>
    </format>
    <format dxfId="1754">
      <pivotArea dataOnly="0" labelOnly="1" outline="0" fieldPosition="0">
        <references count="1">
          <reference field="4294967294" count="1">
            <x v="0"/>
          </reference>
        </references>
      </pivotArea>
    </format>
    <format dxfId="1753">
      <pivotArea dataOnly="0" labelOnly="1" outline="0" fieldPosition="0">
        <references count="1">
          <reference field="4294967294" count="1">
            <x v="1"/>
          </reference>
        </references>
      </pivotArea>
    </format>
    <format dxfId="1752">
      <pivotArea outline="0" collapsedLevelsAreSubtotals="1" fieldPosition="0">
        <references count="1">
          <reference field="4294967294" count="1" selected="0">
            <x v="0"/>
          </reference>
        </references>
      </pivotArea>
    </format>
    <format dxfId="1751">
      <pivotArea dataOnly="0" labelOnly="1" outline="0" fieldPosition="0">
        <references count="1">
          <reference field="4294967294" count="1">
            <x v="0"/>
          </reference>
        </references>
      </pivotArea>
    </format>
  </formats>
  <chartFormats count="13">
    <chartFormat chart="4" format="6" series="1">
      <pivotArea type="data" outline="0" fieldPosition="0">
        <references count="1">
          <reference field="4294967294" count="1" selected="0">
            <x v="1"/>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 chart="25" format="6">
      <pivotArea type="data" outline="0" fieldPosition="0">
        <references count="2">
          <reference field="4294967294" count="1" selected="0">
            <x v="1"/>
          </reference>
          <reference field="5" count="1" selected="0">
            <x v="0"/>
          </reference>
        </references>
      </pivotArea>
    </chartFormat>
    <chartFormat chart="25" format="7">
      <pivotArea type="data" outline="0" fieldPosition="0">
        <references count="2">
          <reference field="4294967294" count="1" selected="0">
            <x v="0"/>
          </reference>
          <reference field="5" count="1" selected="0">
            <x v="1"/>
          </reference>
        </references>
      </pivotArea>
    </chartFormat>
    <chartFormat chart="25" format="8">
      <pivotArea type="data" outline="0" fieldPosition="0">
        <references count="2">
          <reference field="4294967294" count="1" selected="0">
            <x v="0"/>
          </reference>
          <reference field="5" count="1" selected="0">
            <x v="2"/>
          </reference>
        </references>
      </pivotArea>
    </chartFormat>
    <chartFormat chart="25" format="9">
      <pivotArea type="data" outline="0" fieldPosition="0">
        <references count="2">
          <reference field="4294967294" count="1" selected="0">
            <x v="0"/>
          </reference>
          <reference field="5" count="1" selected="0">
            <x v="3"/>
          </reference>
        </references>
      </pivotArea>
    </chartFormat>
    <chartFormat chart="25" format="10">
      <pivotArea type="data" outline="0" fieldPosition="0">
        <references count="2">
          <reference field="4294967294" count="1" selected="0">
            <x v="1"/>
          </reference>
          <reference field="5" count="1" selected="0">
            <x v="4"/>
          </reference>
        </references>
      </pivotArea>
    </chartFormat>
    <chartFormat chart="25" format="11">
      <pivotArea type="data" outline="0" fieldPosition="0">
        <references count="2">
          <reference field="4294967294" count="1" selected="0">
            <x v="1"/>
          </reference>
          <reference field="5" count="1" selected="0">
            <x v="3"/>
          </reference>
        </references>
      </pivotArea>
    </chartFormat>
    <chartFormat chart="25" format="12">
      <pivotArea type="data" outline="0" fieldPosition="0">
        <references count="2">
          <reference field="4294967294" count="1" selected="0">
            <x v="1"/>
          </reference>
          <reference field="5" count="1" selected="0">
            <x v="2"/>
          </reference>
        </references>
      </pivotArea>
    </chartFormat>
    <chartFormat chart="25" format="13">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1F9A5D-7771-4C17-A5DD-255416AA1E3D}"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F4" firstHeaderRow="0" firstDataRow="1" firstDataCol="0"/>
  <pivotFields count="18">
    <pivotField dataField="1" showAll="0"/>
    <pivotField numFmtId="22" showAll="0">
      <items count="2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t="default"/>
      </items>
    </pivotField>
    <pivotField showAll="0"/>
    <pivotField showAll="0">
      <items count="5">
        <item x="0"/>
        <item x="1"/>
        <item x="3"/>
        <item x="2"/>
        <item t="default"/>
      </items>
    </pivotField>
    <pivotField showAll="0"/>
    <pivotField showAll="0"/>
    <pivotField showAll="0"/>
    <pivotField dataField="1" showAll="0"/>
    <pivotField showAll="0"/>
    <pivotField showAll="0"/>
    <pivotField showAll="0"/>
    <pivotField showAll="0"/>
    <pivotField dataField="1" showAll="0"/>
    <pivotField dataField="1" showAll="0"/>
    <pivotField numFmtId="9" showAll="0"/>
    <pivotField dataField="1"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Transactions" fld="0" subtotal="count" baseField="0" baseItem="1"/>
    <dataField name="Revenue " fld="12" baseField="0" baseItem="1" numFmtId="167"/>
    <dataField name="Profit " fld="13" baseField="0" baseItem="2" numFmtId="167"/>
    <dataField name="Quantity Sold" fld="7" baseField="0" baseItem="0" numFmtId="168"/>
    <dataField name="Profit Margin % " fld="15" baseField="0" baseItem="4" numFmtId="166"/>
  </dataFields>
  <formats count="16">
    <format dxfId="1781">
      <pivotArea type="all" dataOnly="0" outline="0" fieldPosition="0"/>
    </format>
    <format dxfId="1780">
      <pivotArea dataOnly="0" labelOnly="1" outline="0" fieldPosition="0">
        <references count="1">
          <reference field="4294967294" count="4">
            <x v="0"/>
            <x v="1"/>
            <x v="2"/>
            <x v="3"/>
          </reference>
        </references>
      </pivotArea>
    </format>
    <format dxfId="1779">
      <pivotArea type="all" dataOnly="0" outline="0" fieldPosition="0"/>
    </format>
    <format dxfId="1778">
      <pivotArea outline="0" collapsedLevelsAreSubtotals="1" fieldPosition="0"/>
    </format>
    <format dxfId="1777">
      <pivotArea dataOnly="0" labelOnly="1" outline="0" fieldPosition="0">
        <references count="1">
          <reference field="4294967294" count="4">
            <x v="0"/>
            <x v="1"/>
            <x v="2"/>
            <x v="3"/>
          </reference>
        </references>
      </pivotArea>
    </format>
    <format dxfId="1776">
      <pivotArea outline="0" collapsedLevelsAreSubtotals="1" fieldPosition="0">
        <references count="1">
          <reference field="4294967294" count="1" selected="0">
            <x v="4"/>
          </reference>
        </references>
      </pivotArea>
    </format>
    <format dxfId="1775">
      <pivotArea dataOnly="0" labelOnly="1" outline="0" fieldPosition="0">
        <references count="1">
          <reference field="4294967294" count="1">
            <x v="4"/>
          </reference>
        </references>
      </pivotArea>
    </format>
    <format dxfId="1774">
      <pivotArea outline="0" collapsedLevelsAreSubtotals="1" fieldPosition="0">
        <references count="1">
          <reference field="4294967294" count="1" selected="0">
            <x v="4"/>
          </reference>
        </references>
      </pivotArea>
    </format>
    <format dxfId="1773">
      <pivotArea outline="0" collapsedLevelsAreSubtotals="1" fieldPosition="0">
        <references count="1">
          <reference field="4294967294" count="1" selected="0">
            <x v="2"/>
          </reference>
        </references>
      </pivotArea>
    </format>
    <format dxfId="1772">
      <pivotArea outline="0" collapsedLevelsAreSubtotals="1" fieldPosition="0">
        <references count="1">
          <reference field="4294967294" count="1" selected="0">
            <x v="1"/>
          </reference>
        </references>
      </pivotArea>
    </format>
    <format dxfId="1771">
      <pivotArea type="all" dataOnly="0" outline="0" fieldPosition="0"/>
    </format>
    <format dxfId="1770">
      <pivotArea outline="0" collapsedLevelsAreSubtotals="1" fieldPosition="0"/>
    </format>
    <format dxfId="1769">
      <pivotArea dataOnly="0" labelOnly="1" outline="0" fieldPosition="0">
        <references count="1">
          <reference field="4294967294" count="5">
            <x v="0"/>
            <x v="1"/>
            <x v="2"/>
            <x v="3"/>
            <x v="4"/>
          </reference>
        </references>
      </pivotArea>
    </format>
    <format dxfId="1768">
      <pivotArea dataOnly="0" labelOnly="1" outline="0" fieldPosition="0">
        <references count="1">
          <reference field="4294967294" count="1">
            <x v="2"/>
          </reference>
        </references>
      </pivotArea>
    </format>
    <format dxfId="1767">
      <pivotArea outline="0" collapsedLevelsAreSubtotals="1" fieldPosition="0">
        <references count="1">
          <reference field="4294967294" count="1" selected="0">
            <x v="3"/>
          </reference>
        </references>
      </pivotArea>
    </format>
    <format dxfId="17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5DC633-ACDA-49B6-89B0-A338DDC8D152}"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nth">
  <location ref="J3:L12" firstHeaderRow="0" firstDataRow="1" firstDataCol="1"/>
  <pivotFields count="18">
    <pivotField showAll="0"/>
    <pivotField numFmtId="22" showAll="0">
      <items count="2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t="default"/>
      </items>
    </pivotField>
    <pivotField showAll="0"/>
    <pivotField showAll="0">
      <items count="5">
        <item x="0"/>
        <item x="1"/>
        <item x="3"/>
        <item x="2"/>
        <item t="default"/>
      </items>
    </pivotField>
    <pivotField showAll="0"/>
    <pivotField showAll="0"/>
    <pivotField showAll="0"/>
    <pivotField showAll="0"/>
    <pivotField showAll="0"/>
    <pivotField showAll="0"/>
    <pivotField showAll="0"/>
    <pivotField showAll="0"/>
    <pivotField dataField="1" showAll="0"/>
    <pivotField dataField="1" showAll="0"/>
    <pivotField numFmtId="9" showAll="0"/>
    <pivotField dragToRow="0" dragToCol="0" dragToPage="0" showAll="0" defaultSubtota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9">
    <i>
      <x v="1"/>
    </i>
    <i>
      <x v="2"/>
    </i>
    <i>
      <x v="3"/>
    </i>
    <i>
      <x v="4"/>
    </i>
    <i>
      <x v="5"/>
    </i>
    <i>
      <x v="6"/>
    </i>
    <i>
      <x v="7"/>
    </i>
    <i>
      <x v="8"/>
    </i>
    <i t="grand">
      <x/>
    </i>
  </rowItems>
  <colFields count="1">
    <field x="-2"/>
  </colFields>
  <colItems count="2">
    <i>
      <x/>
    </i>
    <i i="1">
      <x v="1"/>
    </i>
  </colItems>
  <dataFields count="2">
    <dataField name="Revenue " fld="12" baseField="0" baseItem="1" numFmtId="167"/>
    <dataField name="Profit " fld="13" baseField="0" baseItem="2" numFmtId="167"/>
  </dataFields>
  <formats count="12">
    <format dxfId="1793">
      <pivotArea type="all" dataOnly="0" outline="0" fieldPosition="0"/>
    </format>
    <format dxfId="1792">
      <pivotArea type="all" dataOnly="0" outline="0" fieldPosition="0"/>
    </format>
    <format dxfId="1791">
      <pivotArea outline="0" collapsedLevelsAreSubtotals="1" fieldPosition="0"/>
    </format>
    <format dxfId="1790">
      <pivotArea dataOnly="0" labelOnly="1" outline="0" fieldPosition="0">
        <references count="1">
          <reference field="4294967294" count="2">
            <x v="0"/>
            <x v="1"/>
          </reference>
        </references>
      </pivotArea>
    </format>
    <format dxfId="1789">
      <pivotArea outline="0" collapsedLevelsAreSubtotals="1" fieldPosition="0">
        <references count="1">
          <reference field="4294967294" count="1" selected="0">
            <x v="1"/>
          </reference>
        </references>
      </pivotArea>
    </format>
    <format dxfId="1788">
      <pivotArea outline="0" collapsedLevelsAreSubtotals="1" fieldPosition="0">
        <references count="1">
          <reference field="4294967294" count="1" selected="0">
            <x v="0"/>
          </reference>
        </references>
      </pivotArea>
    </format>
    <format dxfId="1787">
      <pivotArea type="all" dataOnly="0" outline="0" fieldPosition="0"/>
    </format>
    <format dxfId="1786">
      <pivotArea outline="0" collapsedLevelsAreSubtotals="1" fieldPosition="0"/>
    </format>
    <format dxfId="1785">
      <pivotArea field="17" type="button" dataOnly="0" labelOnly="1" outline="0" axis="axisRow" fieldPosition="0"/>
    </format>
    <format dxfId="1784">
      <pivotArea dataOnly="0" labelOnly="1" fieldPosition="0">
        <references count="1">
          <reference field="17" count="8">
            <x v="1"/>
            <x v="2"/>
            <x v="3"/>
            <x v="4"/>
            <x v="5"/>
            <x v="6"/>
            <x v="7"/>
            <x v="8"/>
          </reference>
        </references>
      </pivotArea>
    </format>
    <format dxfId="1783">
      <pivotArea dataOnly="0" labelOnly="1" grandRow="1" outline="0" fieldPosition="0"/>
    </format>
    <format dxfId="1782">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95A7DF6-88CF-48F8-88D9-960C0637FBA6}" autoFormatId="16" applyNumberFormats="0" applyBorderFormats="0" applyFontFormats="0" applyPatternFormats="0" applyAlignmentFormats="0" applyWidthHeightFormats="0">
  <queryTableRefresh nextId="17" unboundColumnsLeft="1" unboundColumnsRight="6">
    <queryTableFields count="15">
      <queryTableField id="9" dataBound="0" tableColumnId="9"/>
      <queryTableField id="1" name="Date" tableColumnId="1"/>
      <queryTableField id="2" name="Product" tableColumnId="2"/>
      <queryTableField id="3" name="Category" tableColumnId="3"/>
      <queryTableField id="4" name="Color" tableColumnId="4"/>
      <queryTableField id="5" name="Brand" tableColumnId="5"/>
      <queryTableField id="6" name="Country" tableColumnId="6"/>
      <queryTableField id="7" name="Quantity" tableColumnId="7"/>
      <queryTableField id="8" name="Payment Type" tableColumnId="8"/>
      <queryTableField id="11" dataBound="0" tableColumnId="10"/>
      <queryTableField id="12" dataBound="0" tableColumnId="11"/>
      <queryTableField id="15" dataBound="0" tableColumnId="14"/>
      <queryTableField id="13" dataBound="0" tableColumnId="12"/>
      <queryTableField id="14" dataBound="0" tableColumnId="13"/>
      <queryTableField id="16" dataBound="0"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BBA621AD-E4A1-4F9C-A1B1-13A75297B8FA}" sourceName="Months (Date)">
  <pivotTables>
    <pivotTable tabId="6" name="PivotTable2"/>
    <pivotTable tabId="6" name="PivotTable10"/>
    <pivotTable tabId="6" name="PivotTable11"/>
    <pivotTable tabId="6" name="PivotTable3"/>
    <pivotTable tabId="6" name="PivotTable4"/>
    <pivotTable tabId="6" name="PivotTable6"/>
    <pivotTable tabId="6" name="PivotTable8"/>
    <pivotTable tabId="6" name="PivotTable9"/>
    <pivotTable tabId="11" name="PivotTable15"/>
  </pivotTables>
  <data>
    <tabular pivotCacheId="1457523418">
      <items count="14">
        <i x="1" s="1"/>
        <i x="2" s="1"/>
        <i x="3" s="1"/>
        <i x="4" s="1"/>
        <i x="5" s="1"/>
        <i x="6" s="1"/>
        <i x="7" s="1"/>
        <i x="8" s="1"/>
        <i x="9" s="1" nd="1"/>
        <i x="10" s="1" nd="1"/>
        <i x="11" s="1" nd="1"/>
        <i x="12" s="1" nd="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CF11484-D2CE-4C5F-A1E1-D2D00F423464}" sourceName="Category">
  <pivotTables>
    <pivotTable tabId="6" name="PivotTable2"/>
    <pivotTable tabId="6" name="PivotTable10"/>
    <pivotTable tabId="6" name="PivotTable11"/>
    <pivotTable tabId="6" name="PivotTable3"/>
    <pivotTable tabId="6" name="PivotTable4"/>
    <pivotTable tabId="6" name="PivotTable6"/>
    <pivotTable tabId="6" name="PivotTable8"/>
    <pivotTable tabId="6" name="PivotTable9"/>
    <pivotTable tabId="11" name="PivotTable15"/>
  </pivotTables>
  <data>
    <tabular pivotCacheId="1457523418">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97EF6222-5A2C-47F7-AE3C-67636F60EC82}" cache="Slicer_Months__Date" caption="Months (Date)" rowHeight="241300"/>
  <slicer name="Category" xr10:uid="{B250C21E-8C4B-4002-895A-BABB641FCC37}"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1" xr10:uid="{130ADD7C-1B01-45E5-BC9A-F1DCA468DECA}" cache="Slicer_Months__Date" caption="Months (Date)" showCaption="0" rowHeight="274320"/>
  <slicer name="Category1" xr10:uid="{2ABA9E03-8090-4656-9C07-46665DA93FB6}" cache="Slicer_Category" caption="Category" showCaption="0" rowHeight="1828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D16E35-A0F5-43B5-A313-488478027B2B}" name="Shoe_Sales" displayName="Shoe_Sales" ref="A1:O501" tableType="queryTable" totalsRowShown="0">
  <autoFilter ref="A1:O501" xr:uid="{09D16E35-A0F5-43B5-A313-488478027B2B}"/>
  <tableColumns count="15">
    <tableColumn id="9" xr3:uid="{5AD12846-8A7F-4858-90FB-84B69F4FE897}" uniqueName="9" name="ID" queryTableFieldId="9" dataDxfId="1818"/>
    <tableColumn id="1" xr3:uid="{351DCCE5-B657-40AB-9020-18E344CB445D}" uniqueName="1" name="Date" queryTableFieldId="1" dataDxfId="1817"/>
    <tableColumn id="2" xr3:uid="{3128E613-388E-4EC6-9D2B-D2E152326263}" uniqueName="2" name="Product" queryTableFieldId="2" dataDxfId="1816"/>
    <tableColumn id="3" xr3:uid="{CE0CECCA-329A-4B71-9C63-995749AEF03E}" uniqueName="3" name="Category" queryTableFieldId="3" dataDxfId="1815"/>
    <tableColumn id="4" xr3:uid="{6F233D10-4BD9-45C2-89E2-0CC8F7F7BF6D}" uniqueName="4" name="Color" queryTableFieldId="4" dataDxfId="1814"/>
    <tableColumn id="5" xr3:uid="{CBF4C392-4A00-494C-B802-A3D6061E0BD7}" uniqueName="5" name="Brand" queryTableFieldId="5" dataDxfId="1813"/>
    <tableColumn id="6" xr3:uid="{DF929891-7DB1-45EF-B5F4-9F49FE52B650}" uniqueName="6" name="Country" queryTableFieldId="6" dataDxfId="1812"/>
    <tableColumn id="7" xr3:uid="{471AC7A9-75AC-4C70-9955-2C99E21B4387}" uniqueName="7" name="Quantity" queryTableFieldId="7"/>
    <tableColumn id="8" xr3:uid="{D8EA5051-49DA-4C56-84D5-51EB67498950}" uniqueName="8" name="Payment Type" queryTableFieldId="8" dataDxfId="1811"/>
    <tableColumn id="10" xr3:uid="{56773AA0-B2BA-47EB-8FB5-437B8938D1E7}" uniqueName="10" name="Cost Price" queryTableFieldId="11" dataDxfId="1810">
      <calculatedColumnFormula>VLOOKUP(Shoe_Sales[[#This Row],[Product]],products!$A$1:$C$9,3,0)</calculatedColumnFormula>
    </tableColumn>
    <tableColumn id="11" xr3:uid="{A4C440E7-E294-4462-A530-A9382BB0F27B}" uniqueName="11" name="Selling Price" queryTableFieldId="12" dataDxfId="1809">
      <calculatedColumnFormula>VLOOKUP(Shoe_Sales[[#This Row],[Product]],products!$A$1:$C$9,2,FALSE)</calculatedColumnFormula>
    </tableColumn>
    <tableColumn id="14" xr3:uid="{E2D756B9-2807-4087-9042-37AD9C058CA8}" uniqueName="14" name="Cost" queryTableFieldId="15" dataDxfId="1808">
      <calculatedColumnFormula>Shoe_Sales[[#This Row],[Cost Price]]*Shoe_Sales[[#This Row],[Quantity]]</calculatedColumnFormula>
    </tableColumn>
    <tableColumn id="12" xr3:uid="{ED904C89-434E-4B80-A087-ED69483CBC19}" uniqueName="12" name="Revenue" queryTableFieldId="13" dataDxfId="1807">
      <calculatedColumnFormula>Shoe_Sales[[#This Row],[Selling Price]]*Shoe_Sales[[#This Row],[Quantity]]</calculatedColumnFormula>
    </tableColumn>
    <tableColumn id="13" xr3:uid="{7396153A-A870-43F2-895A-A932D03109E4}" uniqueName="13" name="Profit" queryTableFieldId="14" dataDxfId="1806">
      <calculatedColumnFormula>Shoe_Sales[[#This Row],[Revenue]]-Shoe_Sales[[#This Row],[Cost]]</calculatedColumnFormula>
    </tableColumn>
    <tableColumn id="15" xr3:uid="{5F74C943-3C77-4412-8F06-856CBCB43381}" uniqueName="15" name="Profit Margin" queryTableFieldId="16" dataDxfId="1805" dataCellStyle="Per cent">
      <calculatedColumnFormula>Shoe_Sales[[#This Row],[Profit]]/Shoe_Sales[[#This Row],[Revenue]]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66478AF-B007-4E83-BBC7-C98B6B9071C1}">
  <we:reference id="wa200010215" version="2.0.0.0" store="en-US" storeType="OMEX"/>
  <we:alternateReferences>
    <we:reference id="WA200010215" version="2.0.0.0" store="" storeType="OMEX"/>
  </we:alternateReferences>
  <we:properties>
    <we:property name="bps.codex_control.document_id" value="&quot;3174118f-8d74-48b6-98ea-392d65203ac1&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microsoft.com/office/2007/relationships/slicer" Target="../slicers/slicer1.xml"/><Relationship Id="rId4" Type="http://schemas.openxmlformats.org/officeDocument/2006/relationships/pivotTable" Target="../pivotTables/pivotTable5.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C914B-6E59-477D-9E0A-EC72DEF25C4A}">
  <dimension ref="A1:K9"/>
  <sheetViews>
    <sheetView workbookViewId="0">
      <selection activeCell="E21" sqref="E21"/>
    </sheetView>
  </sheetViews>
  <sheetFormatPr defaultRowHeight="14.5" x14ac:dyDescent="0.35"/>
  <cols>
    <col min="1" max="1" width="13.90625" bestFit="1" customWidth="1"/>
    <col min="2" max="2" width="11.90625" bestFit="1" customWidth="1"/>
    <col min="7" max="7" width="11.26953125" bestFit="1" customWidth="1"/>
  </cols>
  <sheetData>
    <row r="1" spans="1:11" x14ac:dyDescent="0.35">
      <c r="A1" t="s">
        <v>1</v>
      </c>
      <c r="B1" t="s">
        <v>43</v>
      </c>
      <c r="C1" t="s">
        <v>44</v>
      </c>
    </row>
    <row r="2" spans="1:11" x14ac:dyDescent="0.35">
      <c r="A2" t="s">
        <v>42</v>
      </c>
      <c r="B2" s="1">
        <v>89</v>
      </c>
      <c r="C2" s="1">
        <v>47</v>
      </c>
      <c r="H2" s="1"/>
      <c r="I2" s="1"/>
      <c r="J2" s="1"/>
      <c r="K2" s="3"/>
    </row>
    <row r="3" spans="1:11" x14ac:dyDescent="0.35">
      <c r="A3" t="s">
        <v>33</v>
      </c>
      <c r="B3" s="1">
        <v>54</v>
      </c>
      <c r="C3" s="1">
        <v>28</v>
      </c>
      <c r="H3" s="1"/>
      <c r="I3" s="1"/>
      <c r="J3" s="1"/>
      <c r="K3" s="3"/>
    </row>
    <row r="4" spans="1:11" x14ac:dyDescent="0.35">
      <c r="A4" t="s">
        <v>27</v>
      </c>
      <c r="B4" s="1">
        <v>32</v>
      </c>
      <c r="C4" s="1">
        <v>14</v>
      </c>
      <c r="H4" s="1"/>
      <c r="I4" s="1"/>
      <c r="J4" s="1"/>
      <c r="K4" s="3"/>
    </row>
    <row r="5" spans="1:11" x14ac:dyDescent="0.35">
      <c r="A5" t="s">
        <v>41</v>
      </c>
      <c r="B5" s="1">
        <v>76</v>
      </c>
      <c r="C5" s="1">
        <v>39</v>
      </c>
      <c r="H5" s="1"/>
      <c r="I5" s="1"/>
      <c r="J5" s="1"/>
      <c r="K5" s="3"/>
    </row>
    <row r="6" spans="1:11" x14ac:dyDescent="0.35">
      <c r="A6" t="s">
        <v>39</v>
      </c>
      <c r="B6" s="1">
        <v>128</v>
      </c>
      <c r="C6" s="1">
        <v>72</v>
      </c>
      <c r="H6" s="1"/>
      <c r="I6" s="1"/>
      <c r="J6" s="1"/>
      <c r="K6" s="3"/>
    </row>
    <row r="7" spans="1:11" x14ac:dyDescent="0.35">
      <c r="A7" t="s">
        <v>22</v>
      </c>
      <c r="B7" s="1">
        <v>105</v>
      </c>
      <c r="C7" s="1">
        <v>58</v>
      </c>
      <c r="H7" s="1"/>
      <c r="I7" s="1"/>
      <c r="J7" s="1"/>
      <c r="K7" s="3"/>
    </row>
    <row r="8" spans="1:11" x14ac:dyDescent="0.35">
      <c r="A8" t="s">
        <v>38</v>
      </c>
      <c r="B8" s="1">
        <v>112</v>
      </c>
      <c r="C8" s="1">
        <v>64</v>
      </c>
      <c r="H8" s="1"/>
      <c r="I8" s="1"/>
      <c r="J8" s="1"/>
      <c r="K8" s="3"/>
    </row>
    <row r="9" spans="1:11" x14ac:dyDescent="0.35">
      <c r="A9" t="s">
        <v>13</v>
      </c>
      <c r="B9" s="1">
        <v>119</v>
      </c>
      <c r="C9" s="1">
        <v>67</v>
      </c>
      <c r="H9" s="1"/>
      <c r="I9" s="1"/>
      <c r="J9" s="1"/>
      <c r="K9" s="3"/>
    </row>
  </sheetData>
  <sortState xmlns:xlrd2="http://schemas.microsoft.com/office/spreadsheetml/2017/richdata2" ref="G2:I9">
    <sortCondition descending="1" ref="H2:H9"/>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7B0C3-BA07-437A-BCB4-57F74C6FFC88}">
  <dimension ref="A1:O501"/>
  <sheetViews>
    <sheetView zoomScaleNormal="100" workbookViewId="0">
      <selection activeCell="B3" sqref="B3"/>
    </sheetView>
  </sheetViews>
  <sheetFormatPr defaultRowHeight="14.5" x14ac:dyDescent="0.35"/>
  <cols>
    <col min="1" max="1" width="4.90625" bestFit="1" customWidth="1"/>
    <col min="2" max="2" width="13.1796875" customWidth="1"/>
    <col min="3" max="3" width="11.26953125" bestFit="1" customWidth="1"/>
    <col min="4" max="4" width="10.54296875" bestFit="1" customWidth="1"/>
    <col min="5" max="5" width="7.54296875" bestFit="1" customWidth="1"/>
    <col min="6" max="6" width="12.7265625" bestFit="1" customWidth="1"/>
    <col min="7" max="7" width="9.81640625" bestFit="1" customWidth="1"/>
    <col min="8" max="8" width="10.453125" bestFit="1" customWidth="1"/>
    <col min="9" max="9" width="15" bestFit="1" customWidth="1"/>
    <col min="10" max="10" width="11.36328125" bestFit="1" customWidth="1"/>
    <col min="11" max="11" width="12.90625" bestFit="1" customWidth="1"/>
    <col min="12" max="12" width="6.81640625" bestFit="1" customWidth="1"/>
    <col min="13" max="13" width="10.26953125" bestFit="1" customWidth="1"/>
    <col min="14" max="14" width="7.81640625" bestFit="1" customWidth="1"/>
    <col min="15" max="15" width="14.1796875" bestFit="1" customWidth="1"/>
  </cols>
  <sheetData>
    <row r="1" spans="1:15" x14ac:dyDescent="0.35">
      <c r="A1" t="s">
        <v>50</v>
      </c>
      <c r="B1" t="s">
        <v>0</v>
      </c>
      <c r="C1" t="s">
        <v>1</v>
      </c>
      <c r="D1" t="s">
        <v>2</v>
      </c>
      <c r="E1" t="s">
        <v>3</v>
      </c>
      <c r="F1" t="s">
        <v>4</v>
      </c>
      <c r="G1" t="s">
        <v>5</v>
      </c>
      <c r="H1" t="s">
        <v>6</v>
      </c>
      <c r="I1" t="s">
        <v>49</v>
      </c>
      <c r="J1" t="s">
        <v>551</v>
      </c>
      <c r="K1" t="s">
        <v>552</v>
      </c>
      <c r="L1" t="s">
        <v>44</v>
      </c>
      <c r="M1" t="s">
        <v>553</v>
      </c>
      <c r="N1" t="s">
        <v>554</v>
      </c>
      <c r="O1" t="s">
        <v>555</v>
      </c>
    </row>
    <row r="2" spans="1:15" x14ac:dyDescent="0.35">
      <c r="A2" s="2" t="s">
        <v>51</v>
      </c>
      <c r="B2" s="2">
        <v>46023</v>
      </c>
      <c r="C2" t="s">
        <v>13</v>
      </c>
      <c r="D2" t="s">
        <v>10</v>
      </c>
      <c r="E2" t="s">
        <v>7</v>
      </c>
      <c r="F2" t="s">
        <v>8</v>
      </c>
      <c r="G2" t="s">
        <v>21</v>
      </c>
      <c r="H2">
        <v>9</v>
      </c>
      <c r="I2" t="s">
        <v>47</v>
      </c>
      <c r="J2">
        <f>VLOOKUP(Shoe_Sales[[#This Row],[Product]],products!$A$1:$C$9,3,0)</f>
        <v>67</v>
      </c>
      <c r="K2">
        <f>VLOOKUP(Shoe_Sales[[#This Row],[Product]],products!$A$1:$C$9,2,FALSE)</f>
        <v>119</v>
      </c>
      <c r="L2">
        <f>Shoe_Sales[[#This Row],[Cost Price]]*Shoe_Sales[[#This Row],[Quantity]]</f>
        <v>603</v>
      </c>
      <c r="M2">
        <f>Shoe_Sales[[#This Row],[Selling Price]]*Shoe_Sales[[#This Row],[Quantity]]</f>
        <v>1071</v>
      </c>
      <c r="N2">
        <f>Shoe_Sales[[#This Row],[Revenue]]-Shoe_Sales[[#This Row],[Cost]]</f>
        <v>468</v>
      </c>
      <c r="O2" s="3">
        <f>Shoe_Sales[[#This Row],[Profit]]/Shoe_Sales[[#This Row],[Revenue]]</f>
        <v>0.43697478991596639</v>
      </c>
    </row>
    <row r="3" spans="1:15" x14ac:dyDescent="0.35">
      <c r="A3" s="2" t="s">
        <v>52</v>
      </c>
      <c r="B3" s="2">
        <v>46023</v>
      </c>
      <c r="C3" t="s">
        <v>41</v>
      </c>
      <c r="D3" t="s">
        <v>10</v>
      </c>
      <c r="E3" t="s">
        <v>14</v>
      </c>
      <c r="F3" t="s">
        <v>8</v>
      </c>
      <c r="G3" t="s">
        <v>24</v>
      </c>
      <c r="H3">
        <v>12</v>
      </c>
      <c r="I3" t="s">
        <v>47</v>
      </c>
      <c r="J3">
        <f>VLOOKUP(Shoe_Sales[[#This Row],[Product]],products!$A$1:$C$9,3,0)</f>
        <v>39</v>
      </c>
      <c r="K3">
        <f>VLOOKUP(Shoe_Sales[[#This Row],[Product]],products!$A$1:$C$9,2,FALSE)</f>
        <v>76</v>
      </c>
      <c r="L3">
        <f>Shoe_Sales[[#This Row],[Cost Price]]*Shoe_Sales[[#This Row],[Quantity]]</f>
        <v>468</v>
      </c>
      <c r="M3">
        <f>Shoe_Sales[[#This Row],[Selling Price]]*Shoe_Sales[[#This Row],[Quantity]]</f>
        <v>912</v>
      </c>
      <c r="N3">
        <f>Shoe_Sales[[#This Row],[Revenue]]-Shoe_Sales[[#This Row],[Cost]]</f>
        <v>444</v>
      </c>
      <c r="O3" s="3">
        <f>Shoe_Sales[[#This Row],[Profit]]/Shoe_Sales[[#This Row],[Revenue]]</f>
        <v>0.48684210526315791</v>
      </c>
    </row>
    <row r="4" spans="1:15" x14ac:dyDescent="0.35">
      <c r="A4" s="2" t="s">
        <v>53</v>
      </c>
      <c r="B4" s="2">
        <v>46024</v>
      </c>
      <c r="C4" t="s">
        <v>41</v>
      </c>
      <c r="D4" t="s">
        <v>25</v>
      </c>
      <c r="E4" t="s">
        <v>7</v>
      </c>
      <c r="F4" t="s">
        <v>8</v>
      </c>
      <c r="G4" t="s">
        <v>34</v>
      </c>
      <c r="H4">
        <v>11</v>
      </c>
      <c r="I4" t="s">
        <v>46</v>
      </c>
      <c r="J4">
        <f>VLOOKUP(Shoe_Sales[[#This Row],[Product]],products!$A$1:$C$9,3,0)</f>
        <v>39</v>
      </c>
      <c r="K4">
        <f>VLOOKUP(Shoe_Sales[[#This Row],[Product]],products!$A$1:$C$9,2,FALSE)</f>
        <v>76</v>
      </c>
      <c r="L4">
        <f>Shoe_Sales[[#This Row],[Cost Price]]*Shoe_Sales[[#This Row],[Quantity]]</f>
        <v>429</v>
      </c>
      <c r="M4">
        <f>Shoe_Sales[[#This Row],[Selling Price]]*Shoe_Sales[[#This Row],[Quantity]]</f>
        <v>836</v>
      </c>
      <c r="N4">
        <f>Shoe_Sales[[#This Row],[Revenue]]-Shoe_Sales[[#This Row],[Cost]]</f>
        <v>407</v>
      </c>
      <c r="O4" s="3">
        <f>Shoe_Sales[[#This Row],[Profit]]/Shoe_Sales[[#This Row],[Revenue]]</f>
        <v>0.48684210526315791</v>
      </c>
    </row>
    <row r="5" spans="1:15" x14ac:dyDescent="0.35">
      <c r="A5" s="2" t="s">
        <v>54</v>
      </c>
      <c r="B5" s="2">
        <v>46024</v>
      </c>
      <c r="C5" t="s">
        <v>33</v>
      </c>
      <c r="D5" t="s">
        <v>25</v>
      </c>
      <c r="E5" t="s">
        <v>7</v>
      </c>
      <c r="F5" t="s">
        <v>29</v>
      </c>
      <c r="G5" t="s">
        <v>30</v>
      </c>
      <c r="H5">
        <v>13</v>
      </c>
      <c r="I5" t="s">
        <v>48</v>
      </c>
      <c r="J5">
        <f>VLOOKUP(Shoe_Sales[[#This Row],[Product]],products!$A$1:$C$9,3,0)</f>
        <v>28</v>
      </c>
      <c r="K5">
        <f>VLOOKUP(Shoe_Sales[[#This Row],[Product]],products!$A$1:$C$9,2,FALSE)</f>
        <v>54</v>
      </c>
      <c r="L5">
        <f>Shoe_Sales[[#This Row],[Cost Price]]*Shoe_Sales[[#This Row],[Quantity]]</f>
        <v>364</v>
      </c>
      <c r="M5">
        <f>Shoe_Sales[[#This Row],[Selling Price]]*Shoe_Sales[[#This Row],[Quantity]]</f>
        <v>702</v>
      </c>
      <c r="N5">
        <f>Shoe_Sales[[#This Row],[Revenue]]-Shoe_Sales[[#This Row],[Cost]]</f>
        <v>338</v>
      </c>
      <c r="O5" s="3">
        <f>Shoe_Sales[[#This Row],[Profit]]/Shoe_Sales[[#This Row],[Revenue]]</f>
        <v>0.48148148148148145</v>
      </c>
    </row>
    <row r="6" spans="1:15" x14ac:dyDescent="0.35">
      <c r="A6" s="2" t="s">
        <v>55</v>
      </c>
      <c r="B6" s="2">
        <v>46024</v>
      </c>
      <c r="C6" t="s">
        <v>42</v>
      </c>
      <c r="D6" t="s">
        <v>19</v>
      </c>
      <c r="E6" t="s">
        <v>16</v>
      </c>
      <c r="F6" t="s">
        <v>17</v>
      </c>
      <c r="G6" t="s">
        <v>9</v>
      </c>
      <c r="H6">
        <v>12</v>
      </c>
      <c r="I6" t="s">
        <v>47</v>
      </c>
      <c r="J6">
        <f>VLOOKUP(Shoe_Sales[[#This Row],[Product]],products!$A$1:$C$9,3,0)</f>
        <v>47</v>
      </c>
      <c r="K6">
        <f>VLOOKUP(Shoe_Sales[[#This Row],[Product]],products!$A$1:$C$9,2,FALSE)</f>
        <v>89</v>
      </c>
      <c r="L6">
        <f>Shoe_Sales[[#This Row],[Cost Price]]*Shoe_Sales[[#This Row],[Quantity]]</f>
        <v>564</v>
      </c>
      <c r="M6">
        <f>Shoe_Sales[[#This Row],[Selling Price]]*Shoe_Sales[[#This Row],[Quantity]]</f>
        <v>1068</v>
      </c>
      <c r="N6">
        <f>Shoe_Sales[[#This Row],[Revenue]]-Shoe_Sales[[#This Row],[Cost]]</f>
        <v>504</v>
      </c>
      <c r="O6" s="3">
        <f>Shoe_Sales[[#This Row],[Profit]]/Shoe_Sales[[#This Row],[Revenue]]</f>
        <v>0.47191011235955055</v>
      </c>
    </row>
    <row r="7" spans="1:15" x14ac:dyDescent="0.35">
      <c r="A7" s="2" t="s">
        <v>56</v>
      </c>
      <c r="B7" s="2">
        <v>46025</v>
      </c>
      <c r="C7" t="s">
        <v>27</v>
      </c>
      <c r="D7" t="s">
        <v>25</v>
      </c>
      <c r="E7" t="s">
        <v>14</v>
      </c>
      <c r="F7" t="s">
        <v>8</v>
      </c>
      <c r="G7" t="s">
        <v>36</v>
      </c>
      <c r="H7">
        <v>15</v>
      </c>
      <c r="I7" t="s">
        <v>48</v>
      </c>
      <c r="J7">
        <f>VLOOKUP(Shoe_Sales[[#This Row],[Product]],products!$A$1:$C$9,3,0)</f>
        <v>14</v>
      </c>
      <c r="K7">
        <f>VLOOKUP(Shoe_Sales[[#This Row],[Product]],products!$A$1:$C$9,2,FALSE)</f>
        <v>32</v>
      </c>
      <c r="L7">
        <f>Shoe_Sales[[#This Row],[Cost Price]]*Shoe_Sales[[#This Row],[Quantity]]</f>
        <v>210</v>
      </c>
      <c r="M7">
        <f>Shoe_Sales[[#This Row],[Selling Price]]*Shoe_Sales[[#This Row],[Quantity]]</f>
        <v>480</v>
      </c>
      <c r="N7">
        <f>Shoe_Sales[[#This Row],[Revenue]]-Shoe_Sales[[#This Row],[Cost]]</f>
        <v>270</v>
      </c>
      <c r="O7" s="3">
        <f>Shoe_Sales[[#This Row],[Profit]]/Shoe_Sales[[#This Row],[Revenue]]</f>
        <v>0.5625</v>
      </c>
    </row>
    <row r="8" spans="1:15" x14ac:dyDescent="0.35">
      <c r="A8" s="2" t="s">
        <v>57</v>
      </c>
      <c r="B8" s="2">
        <v>46025</v>
      </c>
      <c r="C8" t="s">
        <v>41</v>
      </c>
      <c r="D8" t="s">
        <v>25</v>
      </c>
      <c r="E8" t="s">
        <v>16</v>
      </c>
      <c r="F8" t="s">
        <v>8</v>
      </c>
      <c r="G8" t="s">
        <v>21</v>
      </c>
      <c r="H8">
        <v>13</v>
      </c>
      <c r="I8" t="s">
        <v>46</v>
      </c>
      <c r="J8">
        <f>VLOOKUP(Shoe_Sales[[#This Row],[Product]],products!$A$1:$C$9,3,0)</f>
        <v>39</v>
      </c>
      <c r="K8">
        <f>VLOOKUP(Shoe_Sales[[#This Row],[Product]],products!$A$1:$C$9,2,FALSE)</f>
        <v>76</v>
      </c>
      <c r="L8">
        <f>Shoe_Sales[[#This Row],[Cost Price]]*Shoe_Sales[[#This Row],[Quantity]]</f>
        <v>507</v>
      </c>
      <c r="M8">
        <f>Shoe_Sales[[#This Row],[Selling Price]]*Shoe_Sales[[#This Row],[Quantity]]</f>
        <v>988</v>
      </c>
      <c r="N8">
        <f>Shoe_Sales[[#This Row],[Revenue]]-Shoe_Sales[[#This Row],[Cost]]</f>
        <v>481</v>
      </c>
      <c r="O8" s="3">
        <f>Shoe_Sales[[#This Row],[Profit]]/Shoe_Sales[[#This Row],[Revenue]]</f>
        <v>0.48684210526315791</v>
      </c>
    </row>
    <row r="9" spans="1:15" x14ac:dyDescent="0.35">
      <c r="A9" s="2" t="s">
        <v>58</v>
      </c>
      <c r="B9" s="2">
        <v>46025</v>
      </c>
      <c r="C9" t="s">
        <v>33</v>
      </c>
      <c r="D9" t="s">
        <v>10</v>
      </c>
      <c r="E9" t="s">
        <v>16</v>
      </c>
      <c r="F9" t="s">
        <v>8</v>
      </c>
      <c r="G9" t="s">
        <v>12</v>
      </c>
      <c r="H9">
        <v>14</v>
      </c>
      <c r="I9" t="s">
        <v>47</v>
      </c>
      <c r="J9">
        <f>VLOOKUP(Shoe_Sales[[#This Row],[Product]],products!$A$1:$C$9,3,0)</f>
        <v>28</v>
      </c>
      <c r="K9">
        <f>VLOOKUP(Shoe_Sales[[#This Row],[Product]],products!$A$1:$C$9,2,FALSE)</f>
        <v>54</v>
      </c>
      <c r="L9">
        <f>Shoe_Sales[[#This Row],[Cost Price]]*Shoe_Sales[[#This Row],[Quantity]]</f>
        <v>392</v>
      </c>
      <c r="M9">
        <f>Shoe_Sales[[#This Row],[Selling Price]]*Shoe_Sales[[#This Row],[Quantity]]</f>
        <v>756</v>
      </c>
      <c r="N9">
        <f>Shoe_Sales[[#This Row],[Revenue]]-Shoe_Sales[[#This Row],[Cost]]</f>
        <v>364</v>
      </c>
      <c r="O9" s="3">
        <f>Shoe_Sales[[#This Row],[Profit]]/Shoe_Sales[[#This Row],[Revenue]]</f>
        <v>0.48148148148148145</v>
      </c>
    </row>
    <row r="10" spans="1:15" x14ac:dyDescent="0.35">
      <c r="A10" s="2" t="s">
        <v>59</v>
      </c>
      <c r="B10" s="2">
        <v>46026</v>
      </c>
      <c r="C10" t="s">
        <v>13</v>
      </c>
      <c r="D10" t="s">
        <v>10</v>
      </c>
      <c r="E10" t="s">
        <v>20</v>
      </c>
      <c r="F10" t="s">
        <v>8</v>
      </c>
      <c r="G10" t="s">
        <v>37</v>
      </c>
      <c r="H10">
        <v>9</v>
      </c>
      <c r="I10" t="s">
        <v>46</v>
      </c>
      <c r="J10">
        <f>VLOOKUP(Shoe_Sales[[#This Row],[Product]],products!$A$1:$C$9,3,0)</f>
        <v>67</v>
      </c>
      <c r="K10">
        <f>VLOOKUP(Shoe_Sales[[#This Row],[Product]],products!$A$1:$C$9,2,FALSE)</f>
        <v>119</v>
      </c>
      <c r="L10">
        <f>Shoe_Sales[[#This Row],[Cost Price]]*Shoe_Sales[[#This Row],[Quantity]]</f>
        <v>603</v>
      </c>
      <c r="M10">
        <f>Shoe_Sales[[#This Row],[Selling Price]]*Shoe_Sales[[#This Row],[Quantity]]</f>
        <v>1071</v>
      </c>
      <c r="N10">
        <f>Shoe_Sales[[#This Row],[Revenue]]-Shoe_Sales[[#This Row],[Cost]]</f>
        <v>468</v>
      </c>
      <c r="O10" s="3">
        <f>Shoe_Sales[[#This Row],[Profit]]/Shoe_Sales[[#This Row],[Revenue]]</f>
        <v>0.43697478991596639</v>
      </c>
    </row>
    <row r="11" spans="1:15" x14ac:dyDescent="0.35">
      <c r="A11" s="2" t="s">
        <v>60</v>
      </c>
      <c r="B11" s="2">
        <v>46026</v>
      </c>
      <c r="C11" t="s">
        <v>22</v>
      </c>
      <c r="D11" t="s">
        <v>10</v>
      </c>
      <c r="E11" t="s">
        <v>11</v>
      </c>
      <c r="F11" t="s">
        <v>35</v>
      </c>
      <c r="G11" t="s">
        <v>24</v>
      </c>
      <c r="H11">
        <v>3</v>
      </c>
      <c r="I11" t="s">
        <v>48</v>
      </c>
      <c r="J11">
        <f>VLOOKUP(Shoe_Sales[[#This Row],[Product]],products!$A$1:$C$9,3,0)</f>
        <v>58</v>
      </c>
      <c r="K11">
        <f>VLOOKUP(Shoe_Sales[[#This Row],[Product]],products!$A$1:$C$9,2,FALSE)</f>
        <v>105</v>
      </c>
      <c r="L11">
        <f>Shoe_Sales[[#This Row],[Cost Price]]*Shoe_Sales[[#This Row],[Quantity]]</f>
        <v>174</v>
      </c>
      <c r="M11">
        <f>Shoe_Sales[[#This Row],[Selling Price]]*Shoe_Sales[[#This Row],[Quantity]]</f>
        <v>315</v>
      </c>
      <c r="N11">
        <f>Shoe_Sales[[#This Row],[Revenue]]-Shoe_Sales[[#This Row],[Cost]]</f>
        <v>141</v>
      </c>
      <c r="O11" s="3">
        <f>Shoe_Sales[[#This Row],[Profit]]/Shoe_Sales[[#This Row],[Revenue]]</f>
        <v>0.44761904761904764</v>
      </c>
    </row>
    <row r="12" spans="1:15" x14ac:dyDescent="0.35">
      <c r="A12" s="2" t="s">
        <v>61</v>
      </c>
      <c r="B12" s="2">
        <v>46028</v>
      </c>
      <c r="C12" t="s">
        <v>22</v>
      </c>
      <c r="D12" t="s">
        <v>25</v>
      </c>
      <c r="E12" t="s">
        <v>14</v>
      </c>
      <c r="F12" t="s">
        <v>40</v>
      </c>
      <c r="G12" t="s">
        <v>15</v>
      </c>
      <c r="H12">
        <v>9</v>
      </c>
      <c r="I12" t="s">
        <v>45</v>
      </c>
      <c r="J12">
        <f>VLOOKUP(Shoe_Sales[[#This Row],[Product]],products!$A$1:$C$9,3,0)</f>
        <v>58</v>
      </c>
      <c r="K12">
        <f>VLOOKUP(Shoe_Sales[[#This Row],[Product]],products!$A$1:$C$9,2,FALSE)</f>
        <v>105</v>
      </c>
      <c r="L12">
        <f>Shoe_Sales[[#This Row],[Cost Price]]*Shoe_Sales[[#This Row],[Quantity]]</f>
        <v>522</v>
      </c>
      <c r="M12">
        <f>Shoe_Sales[[#This Row],[Selling Price]]*Shoe_Sales[[#This Row],[Quantity]]</f>
        <v>945</v>
      </c>
      <c r="N12">
        <f>Shoe_Sales[[#This Row],[Revenue]]-Shoe_Sales[[#This Row],[Cost]]</f>
        <v>423</v>
      </c>
      <c r="O12" s="3">
        <f>Shoe_Sales[[#This Row],[Profit]]/Shoe_Sales[[#This Row],[Revenue]]</f>
        <v>0.44761904761904764</v>
      </c>
    </row>
    <row r="13" spans="1:15" x14ac:dyDescent="0.35">
      <c r="A13" s="2" t="s">
        <v>62</v>
      </c>
      <c r="B13" s="2">
        <v>46028</v>
      </c>
      <c r="C13" t="s">
        <v>41</v>
      </c>
      <c r="D13" t="s">
        <v>10</v>
      </c>
      <c r="E13" t="s">
        <v>16</v>
      </c>
      <c r="F13" t="s">
        <v>29</v>
      </c>
      <c r="G13" t="s">
        <v>9</v>
      </c>
      <c r="H13">
        <v>1</v>
      </c>
      <c r="I13" t="s">
        <v>45</v>
      </c>
      <c r="J13">
        <f>VLOOKUP(Shoe_Sales[[#This Row],[Product]],products!$A$1:$C$9,3,0)</f>
        <v>39</v>
      </c>
      <c r="K13">
        <f>VLOOKUP(Shoe_Sales[[#This Row],[Product]],products!$A$1:$C$9,2,FALSE)</f>
        <v>76</v>
      </c>
      <c r="L13">
        <f>Shoe_Sales[[#This Row],[Cost Price]]*Shoe_Sales[[#This Row],[Quantity]]</f>
        <v>39</v>
      </c>
      <c r="M13">
        <f>Shoe_Sales[[#This Row],[Selling Price]]*Shoe_Sales[[#This Row],[Quantity]]</f>
        <v>76</v>
      </c>
      <c r="N13">
        <f>Shoe_Sales[[#This Row],[Revenue]]-Shoe_Sales[[#This Row],[Cost]]</f>
        <v>37</v>
      </c>
      <c r="O13" s="3">
        <f>Shoe_Sales[[#This Row],[Profit]]/Shoe_Sales[[#This Row],[Revenue]]</f>
        <v>0.48684210526315791</v>
      </c>
    </row>
    <row r="14" spans="1:15" x14ac:dyDescent="0.35">
      <c r="A14" s="2" t="s">
        <v>63</v>
      </c>
      <c r="B14" s="2">
        <v>46028</v>
      </c>
      <c r="C14" t="s">
        <v>38</v>
      </c>
      <c r="D14" t="s">
        <v>25</v>
      </c>
      <c r="E14" t="s">
        <v>7</v>
      </c>
      <c r="F14" t="s">
        <v>8</v>
      </c>
      <c r="G14" t="s">
        <v>37</v>
      </c>
      <c r="H14">
        <v>8</v>
      </c>
      <c r="I14" t="s">
        <v>48</v>
      </c>
      <c r="J14">
        <f>VLOOKUP(Shoe_Sales[[#This Row],[Product]],products!$A$1:$C$9,3,0)</f>
        <v>64</v>
      </c>
      <c r="K14">
        <f>VLOOKUP(Shoe_Sales[[#This Row],[Product]],products!$A$1:$C$9,2,FALSE)</f>
        <v>112</v>
      </c>
      <c r="L14">
        <f>Shoe_Sales[[#This Row],[Cost Price]]*Shoe_Sales[[#This Row],[Quantity]]</f>
        <v>512</v>
      </c>
      <c r="M14">
        <f>Shoe_Sales[[#This Row],[Selling Price]]*Shoe_Sales[[#This Row],[Quantity]]</f>
        <v>896</v>
      </c>
      <c r="N14">
        <f>Shoe_Sales[[#This Row],[Revenue]]-Shoe_Sales[[#This Row],[Cost]]</f>
        <v>384</v>
      </c>
      <c r="O14" s="3">
        <f>Shoe_Sales[[#This Row],[Profit]]/Shoe_Sales[[#This Row],[Revenue]]</f>
        <v>0.42857142857142855</v>
      </c>
    </row>
    <row r="15" spans="1:15" x14ac:dyDescent="0.35">
      <c r="A15" s="2" t="s">
        <v>64</v>
      </c>
      <c r="B15" s="2">
        <v>46029</v>
      </c>
      <c r="C15" t="s">
        <v>41</v>
      </c>
      <c r="D15" t="s">
        <v>31</v>
      </c>
      <c r="E15" t="s">
        <v>20</v>
      </c>
      <c r="F15" t="s">
        <v>17</v>
      </c>
      <c r="G15" t="s">
        <v>37</v>
      </c>
      <c r="H15">
        <v>14</v>
      </c>
      <c r="I15" t="s">
        <v>46</v>
      </c>
      <c r="J15">
        <f>VLOOKUP(Shoe_Sales[[#This Row],[Product]],products!$A$1:$C$9,3,0)</f>
        <v>39</v>
      </c>
      <c r="K15">
        <f>VLOOKUP(Shoe_Sales[[#This Row],[Product]],products!$A$1:$C$9,2,FALSE)</f>
        <v>76</v>
      </c>
      <c r="L15">
        <f>Shoe_Sales[[#This Row],[Cost Price]]*Shoe_Sales[[#This Row],[Quantity]]</f>
        <v>546</v>
      </c>
      <c r="M15">
        <f>Shoe_Sales[[#This Row],[Selling Price]]*Shoe_Sales[[#This Row],[Quantity]]</f>
        <v>1064</v>
      </c>
      <c r="N15">
        <f>Shoe_Sales[[#This Row],[Revenue]]-Shoe_Sales[[#This Row],[Cost]]</f>
        <v>518</v>
      </c>
      <c r="O15" s="3">
        <f>Shoe_Sales[[#This Row],[Profit]]/Shoe_Sales[[#This Row],[Revenue]]</f>
        <v>0.48684210526315791</v>
      </c>
    </row>
    <row r="16" spans="1:15" x14ac:dyDescent="0.35">
      <c r="A16" s="2" t="s">
        <v>65</v>
      </c>
      <c r="B16" s="2">
        <v>46030</v>
      </c>
      <c r="C16" t="s">
        <v>27</v>
      </c>
      <c r="D16" t="s">
        <v>10</v>
      </c>
      <c r="E16" t="s">
        <v>20</v>
      </c>
      <c r="F16" t="s">
        <v>8</v>
      </c>
      <c r="G16" t="s">
        <v>37</v>
      </c>
      <c r="H16">
        <v>12</v>
      </c>
      <c r="I16" t="s">
        <v>46</v>
      </c>
      <c r="J16">
        <f>VLOOKUP(Shoe_Sales[[#This Row],[Product]],products!$A$1:$C$9,3,0)</f>
        <v>14</v>
      </c>
      <c r="K16">
        <f>VLOOKUP(Shoe_Sales[[#This Row],[Product]],products!$A$1:$C$9,2,FALSE)</f>
        <v>32</v>
      </c>
      <c r="L16">
        <f>Shoe_Sales[[#This Row],[Cost Price]]*Shoe_Sales[[#This Row],[Quantity]]</f>
        <v>168</v>
      </c>
      <c r="M16">
        <f>Shoe_Sales[[#This Row],[Selling Price]]*Shoe_Sales[[#This Row],[Quantity]]</f>
        <v>384</v>
      </c>
      <c r="N16">
        <f>Shoe_Sales[[#This Row],[Revenue]]-Shoe_Sales[[#This Row],[Cost]]</f>
        <v>216</v>
      </c>
      <c r="O16" s="3">
        <f>Shoe_Sales[[#This Row],[Profit]]/Shoe_Sales[[#This Row],[Revenue]]</f>
        <v>0.5625</v>
      </c>
    </row>
    <row r="17" spans="1:15" x14ac:dyDescent="0.35">
      <c r="A17" s="2" t="s">
        <v>66</v>
      </c>
      <c r="B17" s="2">
        <v>46030</v>
      </c>
      <c r="C17" t="s">
        <v>38</v>
      </c>
      <c r="D17" t="s">
        <v>25</v>
      </c>
      <c r="E17" t="s">
        <v>16</v>
      </c>
      <c r="F17" t="s">
        <v>29</v>
      </c>
      <c r="G17" t="s">
        <v>15</v>
      </c>
      <c r="H17">
        <v>3</v>
      </c>
      <c r="I17" t="s">
        <v>47</v>
      </c>
      <c r="J17">
        <f>VLOOKUP(Shoe_Sales[[#This Row],[Product]],products!$A$1:$C$9,3,0)</f>
        <v>64</v>
      </c>
      <c r="K17">
        <f>VLOOKUP(Shoe_Sales[[#This Row],[Product]],products!$A$1:$C$9,2,FALSE)</f>
        <v>112</v>
      </c>
      <c r="L17">
        <f>Shoe_Sales[[#This Row],[Cost Price]]*Shoe_Sales[[#This Row],[Quantity]]</f>
        <v>192</v>
      </c>
      <c r="M17">
        <f>Shoe_Sales[[#This Row],[Selling Price]]*Shoe_Sales[[#This Row],[Quantity]]</f>
        <v>336</v>
      </c>
      <c r="N17">
        <f>Shoe_Sales[[#This Row],[Revenue]]-Shoe_Sales[[#This Row],[Cost]]</f>
        <v>144</v>
      </c>
      <c r="O17" s="3">
        <f>Shoe_Sales[[#This Row],[Profit]]/Shoe_Sales[[#This Row],[Revenue]]</f>
        <v>0.42857142857142855</v>
      </c>
    </row>
    <row r="18" spans="1:15" x14ac:dyDescent="0.35">
      <c r="A18" s="2" t="s">
        <v>67</v>
      </c>
      <c r="B18" s="2">
        <v>46031</v>
      </c>
      <c r="C18" t="s">
        <v>13</v>
      </c>
      <c r="D18" t="s">
        <v>10</v>
      </c>
      <c r="E18" t="s">
        <v>20</v>
      </c>
      <c r="F18" t="s">
        <v>40</v>
      </c>
      <c r="G18" t="s">
        <v>21</v>
      </c>
      <c r="H18">
        <v>6</v>
      </c>
      <c r="I18" t="s">
        <v>47</v>
      </c>
      <c r="J18">
        <f>VLOOKUP(Shoe_Sales[[#This Row],[Product]],products!$A$1:$C$9,3,0)</f>
        <v>67</v>
      </c>
      <c r="K18">
        <f>VLOOKUP(Shoe_Sales[[#This Row],[Product]],products!$A$1:$C$9,2,FALSE)</f>
        <v>119</v>
      </c>
      <c r="L18">
        <f>Shoe_Sales[[#This Row],[Cost Price]]*Shoe_Sales[[#This Row],[Quantity]]</f>
        <v>402</v>
      </c>
      <c r="M18">
        <f>Shoe_Sales[[#This Row],[Selling Price]]*Shoe_Sales[[#This Row],[Quantity]]</f>
        <v>714</v>
      </c>
      <c r="N18">
        <f>Shoe_Sales[[#This Row],[Revenue]]-Shoe_Sales[[#This Row],[Cost]]</f>
        <v>312</v>
      </c>
      <c r="O18" s="3">
        <f>Shoe_Sales[[#This Row],[Profit]]/Shoe_Sales[[#This Row],[Revenue]]</f>
        <v>0.43697478991596639</v>
      </c>
    </row>
    <row r="19" spans="1:15" x14ac:dyDescent="0.35">
      <c r="A19" s="2" t="s">
        <v>68</v>
      </c>
      <c r="B19" s="2">
        <v>46031</v>
      </c>
      <c r="C19" t="s">
        <v>39</v>
      </c>
      <c r="D19" t="s">
        <v>25</v>
      </c>
      <c r="E19" t="s">
        <v>7</v>
      </c>
      <c r="F19" t="s">
        <v>17</v>
      </c>
      <c r="G19" t="s">
        <v>26</v>
      </c>
      <c r="H19">
        <v>3</v>
      </c>
      <c r="I19" t="s">
        <v>47</v>
      </c>
      <c r="J19">
        <f>VLOOKUP(Shoe_Sales[[#This Row],[Product]],products!$A$1:$C$9,3,0)</f>
        <v>72</v>
      </c>
      <c r="K19">
        <f>VLOOKUP(Shoe_Sales[[#This Row],[Product]],products!$A$1:$C$9,2,FALSE)</f>
        <v>128</v>
      </c>
      <c r="L19">
        <f>Shoe_Sales[[#This Row],[Cost Price]]*Shoe_Sales[[#This Row],[Quantity]]</f>
        <v>216</v>
      </c>
      <c r="M19">
        <f>Shoe_Sales[[#This Row],[Selling Price]]*Shoe_Sales[[#This Row],[Quantity]]</f>
        <v>384</v>
      </c>
      <c r="N19">
        <f>Shoe_Sales[[#This Row],[Revenue]]-Shoe_Sales[[#This Row],[Cost]]</f>
        <v>168</v>
      </c>
      <c r="O19" s="3">
        <f>Shoe_Sales[[#This Row],[Profit]]/Shoe_Sales[[#This Row],[Revenue]]</f>
        <v>0.4375</v>
      </c>
    </row>
    <row r="20" spans="1:15" x14ac:dyDescent="0.35">
      <c r="A20" s="2" t="s">
        <v>69</v>
      </c>
      <c r="B20" s="2">
        <v>46031</v>
      </c>
      <c r="C20" t="s">
        <v>39</v>
      </c>
      <c r="D20" t="s">
        <v>25</v>
      </c>
      <c r="E20" t="s">
        <v>7</v>
      </c>
      <c r="F20" t="s">
        <v>8</v>
      </c>
      <c r="G20" t="s">
        <v>9</v>
      </c>
      <c r="H20">
        <v>7</v>
      </c>
      <c r="I20" t="s">
        <v>47</v>
      </c>
      <c r="J20">
        <f>VLOOKUP(Shoe_Sales[[#This Row],[Product]],products!$A$1:$C$9,3,0)</f>
        <v>72</v>
      </c>
      <c r="K20">
        <f>VLOOKUP(Shoe_Sales[[#This Row],[Product]],products!$A$1:$C$9,2,FALSE)</f>
        <v>128</v>
      </c>
      <c r="L20">
        <f>Shoe_Sales[[#This Row],[Cost Price]]*Shoe_Sales[[#This Row],[Quantity]]</f>
        <v>504</v>
      </c>
      <c r="M20">
        <f>Shoe_Sales[[#This Row],[Selling Price]]*Shoe_Sales[[#This Row],[Quantity]]</f>
        <v>896</v>
      </c>
      <c r="N20">
        <f>Shoe_Sales[[#This Row],[Revenue]]-Shoe_Sales[[#This Row],[Cost]]</f>
        <v>392</v>
      </c>
      <c r="O20" s="3">
        <f>Shoe_Sales[[#This Row],[Profit]]/Shoe_Sales[[#This Row],[Revenue]]</f>
        <v>0.4375</v>
      </c>
    </row>
    <row r="21" spans="1:15" x14ac:dyDescent="0.35">
      <c r="A21" s="2" t="s">
        <v>70</v>
      </c>
      <c r="B21" s="2">
        <v>46031</v>
      </c>
      <c r="C21" t="s">
        <v>22</v>
      </c>
      <c r="D21" t="s">
        <v>25</v>
      </c>
      <c r="E21" t="s">
        <v>20</v>
      </c>
      <c r="F21" t="s">
        <v>35</v>
      </c>
      <c r="G21" t="s">
        <v>9</v>
      </c>
      <c r="H21">
        <v>4</v>
      </c>
      <c r="I21" t="s">
        <v>46</v>
      </c>
      <c r="J21">
        <f>VLOOKUP(Shoe_Sales[[#This Row],[Product]],products!$A$1:$C$9,3,0)</f>
        <v>58</v>
      </c>
      <c r="K21">
        <f>VLOOKUP(Shoe_Sales[[#This Row],[Product]],products!$A$1:$C$9,2,FALSE)</f>
        <v>105</v>
      </c>
      <c r="L21">
        <f>Shoe_Sales[[#This Row],[Cost Price]]*Shoe_Sales[[#This Row],[Quantity]]</f>
        <v>232</v>
      </c>
      <c r="M21">
        <f>Shoe_Sales[[#This Row],[Selling Price]]*Shoe_Sales[[#This Row],[Quantity]]</f>
        <v>420</v>
      </c>
      <c r="N21">
        <f>Shoe_Sales[[#This Row],[Revenue]]-Shoe_Sales[[#This Row],[Cost]]</f>
        <v>188</v>
      </c>
      <c r="O21" s="3">
        <f>Shoe_Sales[[#This Row],[Profit]]/Shoe_Sales[[#This Row],[Revenue]]</f>
        <v>0.44761904761904764</v>
      </c>
    </row>
    <row r="22" spans="1:15" x14ac:dyDescent="0.35">
      <c r="A22" s="2" t="s">
        <v>71</v>
      </c>
      <c r="B22" s="2">
        <v>46032</v>
      </c>
      <c r="C22" t="s">
        <v>39</v>
      </c>
      <c r="D22" t="s">
        <v>10</v>
      </c>
      <c r="E22" t="s">
        <v>16</v>
      </c>
      <c r="F22" t="s">
        <v>8</v>
      </c>
      <c r="G22" t="s">
        <v>12</v>
      </c>
      <c r="H22">
        <v>6</v>
      </c>
      <c r="I22" t="s">
        <v>48</v>
      </c>
      <c r="J22">
        <f>VLOOKUP(Shoe_Sales[[#This Row],[Product]],products!$A$1:$C$9,3,0)</f>
        <v>72</v>
      </c>
      <c r="K22">
        <f>VLOOKUP(Shoe_Sales[[#This Row],[Product]],products!$A$1:$C$9,2,FALSE)</f>
        <v>128</v>
      </c>
      <c r="L22">
        <f>Shoe_Sales[[#This Row],[Cost Price]]*Shoe_Sales[[#This Row],[Quantity]]</f>
        <v>432</v>
      </c>
      <c r="M22">
        <f>Shoe_Sales[[#This Row],[Selling Price]]*Shoe_Sales[[#This Row],[Quantity]]</f>
        <v>768</v>
      </c>
      <c r="N22">
        <f>Shoe_Sales[[#This Row],[Revenue]]-Shoe_Sales[[#This Row],[Cost]]</f>
        <v>336</v>
      </c>
      <c r="O22" s="3">
        <f>Shoe_Sales[[#This Row],[Profit]]/Shoe_Sales[[#This Row],[Revenue]]</f>
        <v>0.4375</v>
      </c>
    </row>
    <row r="23" spans="1:15" x14ac:dyDescent="0.35">
      <c r="A23" s="2" t="s">
        <v>72</v>
      </c>
      <c r="B23" s="2">
        <v>46032</v>
      </c>
      <c r="C23" t="s">
        <v>39</v>
      </c>
      <c r="D23" t="s">
        <v>25</v>
      </c>
      <c r="E23" t="s">
        <v>14</v>
      </c>
      <c r="F23" t="s">
        <v>8</v>
      </c>
      <c r="G23" t="s">
        <v>28</v>
      </c>
      <c r="H23">
        <v>7</v>
      </c>
      <c r="I23" t="s">
        <v>45</v>
      </c>
      <c r="J23">
        <f>VLOOKUP(Shoe_Sales[[#This Row],[Product]],products!$A$1:$C$9,3,0)</f>
        <v>72</v>
      </c>
      <c r="K23">
        <f>VLOOKUP(Shoe_Sales[[#This Row],[Product]],products!$A$1:$C$9,2,FALSE)</f>
        <v>128</v>
      </c>
      <c r="L23">
        <f>Shoe_Sales[[#This Row],[Cost Price]]*Shoe_Sales[[#This Row],[Quantity]]</f>
        <v>504</v>
      </c>
      <c r="M23">
        <f>Shoe_Sales[[#This Row],[Selling Price]]*Shoe_Sales[[#This Row],[Quantity]]</f>
        <v>896</v>
      </c>
      <c r="N23">
        <f>Shoe_Sales[[#This Row],[Revenue]]-Shoe_Sales[[#This Row],[Cost]]</f>
        <v>392</v>
      </c>
      <c r="O23" s="3">
        <f>Shoe_Sales[[#This Row],[Profit]]/Shoe_Sales[[#This Row],[Revenue]]</f>
        <v>0.4375</v>
      </c>
    </row>
    <row r="24" spans="1:15" x14ac:dyDescent="0.35">
      <c r="A24" s="2" t="s">
        <v>73</v>
      </c>
      <c r="B24" s="2">
        <v>46033</v>
      </c>
      <c r="C24" t="s">
        <v>39</v>
      </c>
      <c r="D24" t="s">
        <v>10</v>
      </c>
      <c r="E24" t="s">
        <v>7</v>
      </c>
      <c r="F24" t="s">
        <v>35</v>
      </c>
      <c r="G24" t="s">
        <v>36</v>
      </c>
      <c r="H24">
        <v>13</v>
      </c>
      <c r="I24" t="s">
        <v>47</v>
      </c>
      <c r="J24">
        <f>VLOOKUP(Shoe_Sales[[#This Row],[Product]],products!$A$1:$C$9,3,0)</f>
        <v>72</v>
      </c>
      <c r="K24">
        <f>VLOOKUP(Shoe_Sales[[#This Row],[Product]],products!$A$1:$C$9,2,FALSE)</f>
        <v>128</v>
      </c>
      <c r="L24">
        <f>Shoe_Sales[[#This Row],[Cost Price]]*Shoe_Sales[[#This Row],[Quantity]]</f>
        <v>936</v>
      </c>
      <c r="M24">
        <f>Shoe_Sales[[#This Row],[Selling Price]]*Shoe_Sales[[#This Row],[Quantity]]</f>
        <v>1664</v>
      </c>
      <c r="N24">
        <f>Shoe_Sales[[#This Row],[Revenue]]-Shoe_Sales[[#This Row],[Cost]]</f>
        <v>728</v>
      </c>
      <c r="O24" s="3">
        <f>Shoe_Sales[[#This Row],[Profit]]/Shoe_Sales[[#This Row],[Revenue]]</f>
        <v>0.4375</v>
      </c>
    </row>
    <row r="25" spans="1:15" x14ac:dyDescent="0.35">
      <c r="A25" s="2" t="s">
        <v>74</v>
      </c>
      <c r="B25" s="2">
        <v>46033</v>
      </c>
      <c r="C25" t="s">
        <v>22</v>
      </c>
      <c r="D25" t="s">
        <v>25</v>
      </c>
      <c r="E25" t="s">
        <v>20</v>
      </c>
      <c r="F25" t="s">
        <v>29</v>
      </c>
      <c r="G25" t="s">
        <v>9</v>
      </c>
      <c r="H25">
        <v>14</v>
      </c>
      <c r="I25" t="s">
        <v>47</v>
      </c>
      <c r="J25">
        <f>VLOOKUP(Shoe_Sales[[#This Row],[Product]],products!$A$1:$C$9,3,0)</f>
        <v>58</v>
      </c>
      <c r="K25">
        <f>VLOOKUP(Shoe_Sales[[#This Row],[Product]],products!$A$1:$C$9,2,FALSE)</f>
        <v>105</v>
      </c>
      <c r="L25">
        <f>Shoe_Sales[[#This Row],[Cost Price]]*Shoe_Sales[[#This Row],[Quantity]]</f>
        <v>812</v>
      </c>
      <c r="M25">
        <f>Shoe_Sales[[#This Row],[Selling Price]]*Shoe_Sales[[#This Row],[Quantity]]</f>
        <v>1470</v>
      </c>
      <c r="N25">
        <f>Shoe_Sales[[#This Row],[Revenue]]-Shoe_Sales[[#This Row],[Cost]]</f>
        <v>658</v>
      </c>
      <c r="O25" s="3">
        <f>Shoe_Sales[[#This Row],[Profit]]/Shoe_Sales[[#This Row],[Revenue]]</f>
        <v>0.44761904761904764</v>
      </c>
    </row>
    <row r="26" spans="1:15" x14ac:dyDescent="0.35">
      <c r="A26" s="2" t="s">
        <v>75</v>
      </c>
      <c r="B26" s="2">
        <v>46034</v>
      </c>
      <c r="C26" t="s">
        <v>38</v>
      </c>
      <c r="D26" t="s">
        <v>10</v>
      </c>
      <c r="E26" t="s">
        <v>14</v>
      </c>
      <c r="F26" t="s">
        <v>40</v>
      </c>
      <c r="G26" t="s">
        <v>37</v>
      </c>
      <c r="H26">
        <v>6</v>
      </c>
      <c r="I26" t="s">
        <v>46</v>
      </c>
      <c r="J26">
        <f>VLOOKUP(Shoe_Sales[[#This Row],[Product]],products!$A$1:$C$9,3,0)</f>
        <v>64</v>
      </c>
      <c r="K26">
        <f>VLOOKUP(Shoe_Sales[[#This Row],[Product]],products!$A$1:$C$9,2,FALSE)</f>
        <v>112</v>
      </c>
      <c r="L26">
        <f>Shoe_Sales[[#This Row],[Cost Price]]*Shoe_Sales[[#This Row],[Quantity]]</f>
        <v>384</v>
      </c>
      <c r="M26">
        <f>Shoe_Sales[[#This Row],[Selling Price]]*Shoe_Sales[[#This Row],[Quantity]]</f>
        <v>672</v>
      </c>
      <c r="N26">
        <f>Shoe_Sales[[#This Row],[Revenue]]-Shoe_Sales[[#This Row],[Cost]]</f>
        <v>288</v>
      </c>
      <c r="O26" s="3">
        <f>Shoe_Sales[[#This Row],[Profit]]/Shoe_Sales[[#This Row],[Revenue]]</f>
        <v>0.42857142857142855</v>
      </c>
    </row>
    <row r="27" spans="1:15" x14ac:dyDescent="0.35">
      <c r="A27" s="2" t="s">
        <v>76</v>
      </c>
      <c r="B27" s="2">
        <v>46034</v>
      </c>
      <c r="C27" t="s">
        <v>22</v>
      </c>
      <c r="D27" t="s">
        <v>25</v>
      </c>
      <c r="E27" t="s">
        <v>20</v>
      </c>
      <c r="F27" t="s">
        <v>29</v>
      </c>
      <c r="G27" t="s">
        <v>37</v>
      </c>
      <c r="H27">
        <v>15</v>
      </c>
      <c r="I27" t="s">
        <v>46</v>
      </c>
      <c r="J27">
        <f>VLOOKUP(Shoe_Sales[[#This Row],[Product]],products!$A$1:$C$9,3,0)</f>
        <v>58</v>
      </c>
      <c r="K27">
        <f>VLOOKUP(Shoe_Sales[[#This Row],[Product]],products!$A$1:$C$9,2,FALSE)</f>
        <v>105</v>
      </c>
      <c r="L27">
        <f>Shoe_Sales[[#This Row],[Cost Price]]*Shoe_Sales[[#This Row],[Quantity]]</f>
        <v>870</v>
      </c>
      <c r="M27">
        <f>Shoe_Sales[[#This Row],[Selling Price]]*Shoe_Sales[[#This Row],[Quantity]]</f>
        <v>1575</v>
      </c>
      <c r="N27">
        <f>Shoe_Sales[[#This Row],[Revenue]]-Shoe_Sales[[#This Row],[Cost]]</f>
        <v>705</v>
      </c>
      <c r="O27" s="3">
        <f>Shoe_Sales[[#This Row],[Profit]]/Shoe_Sales[[#This Row],[Revenue]]</f>
        <v>0.44761904761904764</v>
      </c>
    </row>
    <row r="28" spans="1:15" x14ac:dyDescent="0.35">
      <c r="A28" s="2" t="s">
        <v>77</v>
      </c>
      <c r="B28" s="2">
        <v>46034</v>
      </c>
      <c r="C28" t="s">
        <v>33</v>
      </c>
      <c r="D28" t="s">
        <v>25</v>
      </c>
      <c r="E28" t="s">
        <v>16</v>
      </c>
      <c r="F28" t="s">
        <v>40</v>
      </c>
      <c r="G28" t="s">
        <v>21</v>
      </c>
      <c r="H28">
        <v>13</v>
      </c>
      <c r="I28" t="s">
        <v>48</v>
      </c>
      <c r="J28">
        <f>VLOOKUP(Shoe_Sales[[#This Row],[Product]],products!$A$1:$C$9,3,0)</f>
        <v>28</v>
      </c>
      <c r="K28">
        <f>VLOOKUP(Shoe_Sales[[#This Row],[Product]],products!$A$1:$C$9,2,FALSE)</f>
        <v>54</v>
      </c>
      <c r="L28">
        <f>Shoe_Sales[[#This Row],[Cost Price]]*Shoe_Sales[[#This Row],[Quantity]]</f>
        <v>364</v>
      </c>
      <c r="M28">
        <f>Shoe_Sales[[#This Row],[Selling Price]]*Shoe_Sales[[#This Row],[Quantity]]</f>
        <v>702</v>
      </c>
      <c r="N28">
        <f>Shoe_Sales[[#This Row],[Revenue]]-Shoe_Sales[[#This Row],[Cost]]</f>
        <v>338</v>
      </c>
      <c r="O28" s="3">
        <f>Shoe_Sales[[#This Row],[Profit]]/Shoe_Sales[[#This Row],[Revenue]]</f>
        <v>0.48148148148148145</v>
      </c>
    </row>
    <row r="29" spans="1:15" x14ac:dyDescent="0.35">
      <c r="A29" s="2" t="s">
        <v>78</v>
      </c>
      <c r="B29" s="2">
        <v>46035</v>
      </c>
      <c r="C29" t="s">
        <v>22</v>
      </c>
      <c r="D29" t="s">
        <v>25</v>
      </c>
      <c r="E29" t="s">
        <v>11</v>
      </c>
      <c r="F29" t="s">
        <v>35</v>
      </c>
      <c r="G29" t="s">
        <v>12</v>
      </c>
      <c r="H29">
        <v>4</v>
      </c>
      <c r="I29" t="s">
        <v>48</v>
      </c>
      <c r="J29">
        <f>VLOOKUP(Shoe_Sales[[#This Row],[Product]],products!$A$1:$C$9,3,0)</f>
        <v>58</v>
      </c>
      <c r="K29">
        <f>VLOOKUP(Shoe_Sales[[#This Row],[Product]],products!$A$1:$C$9,2,FALSE)</f>
        <v>105</v>
      </c>
      <c r="L29">
        <f>Shoe_Sales[[#This Row],[Cost Price]]*Shoe_Sales[[#This Row],[Quantity]]</f>
        <v>232</v>
      </c>
      <c r="M29">
        <f>Shoe_Sales[[#This Row],[Selling Price]]*Shoe_Sales[[#This Row],[Quantity]]</f>
        <v>420</v>
      </c>
      <c r="N29">
        <f>Shoe_Sales[[#This Row],[Revenue]]-Shoe_Sales[[#This Row],[Cost]]</f>
        <v>188</v>
      </c>
      <c r="O29" s="3">
        <f>Shoe_Sales[[#This Row],[Profit]]/Shoe_Sales[[#This Row],[Revenue]]</f>
        <v>0.44761904761904764</v>
      </c>
    </row>
    <row r="30" spans="1:15" x14ac:dyDescent="0.35">
      <c r="A30" s="2" t="s">
        <v>79</v>
      </c>
      <c r="B30" s="2">
        <v>46035</v>
      </c>
      <c r="C30" t="s">
        <v>41</v>
      </c>
      <c r="D30" t="s">
        <v>25</v>
      </c>
      <c r="E30" t="s">
        <v>14</v>
      </c>
      <c r="F30" t="s">
        <v>29</v>
      </c>
      <c r="G30" t="s">
        <v>21</v>
      </c>
      <c r="H30">
        <v>14</v>
      </c>
      <c r="I30" t="s">
        <v>45</v>
      </c>
      <c r="J30">
        <f>VLOOKUP(Shoe_Sales[[#This Row],[Product]],products!$A$1:$C$9,3,0)</f>
        <v>39</v>
      </c>
      <c r="K30">
        <f>VLOOKUP(Shoe_Sales[[#This Row],[Product]],products!$A$1:$C$9,2,FALSE)</f>
        <v>76</v>
      </c>
      <c r="L30">
        <f>Shoe_Sales[[#This Row],[Cost Price]]*Shoe_Sales[[#This Row],[Quantity]]</f>
        <v>546</v>
      </c>
      <c r="M30">
        <f>Shoe_Sales[[#This Row],[Selling Price]]*Shoe_Sales[[#This Row],[Quantity]]</f>
        <v>1064</v>
      </c>
      <c r="N30">
        <f>Shoe_Sales[[#This Row],[Revenue]]-Shoe_Sales[[#This Row],[Cost]]</f>
        <v>518</v>
      </c>
      <c r="O30" s="3">
        <f>Shoe_Sales[[#This Row],[Profit]]/Shoe_Sales[[#This Row],[Revenue]]</f>
        <v>0.48684210526315791</v>
      </c>
    </row>
    <row r="31" spans="1:15" x14ac:dyDescent="0.35">
      <c r="A31" s="2" t="s">
        <v>80</v>
      </c>
      <c r="B31" s="2">
        <v>46035</v>
      </c>
      <c r="C31" t="s">
        <v>41</v>
      </c>
      <c r="D31" t="s">
        <v>10</v>
      </c>
      <c r="E31" t="s">
        <v>16</v>
      </c>
      <c r="F31" t="s">
        <v>8</v>
      </c>
      <c r="G31" t="s">
        <v>15</v>
      </c>
      <c r="H31">
        <v>12</v>
      </c>
      <c r="I31" t="s">
        <v>47</v>
      </c>
      <c r="J31">
        <f>VLOOKUP(Shoe_Sales[[#This Row],[Product]],products!$A$1:$C$9,3,0)</f>
        <v>39</v>
      </c>
      <c r="K31">
        <f>VLOOKUP(Shoe_Sales[[#This Row],[Product]],products!$A$1:$C$9,2,FALSE)</f>
        <v>76</v>
      </c>
      <c r="L31">
        <f>Shoe_Sales[[#This Row],[Cost Price]]*Shoe_Sales[[#This Row],[Quantity]]</f>
        <v>468</v>
      </c>
      <c r="M31">
        <f>Shoe_Sales[[#This Row],[Selling Price]]*Shoe_Sales[[#This Row],[Quantity]]</f>
        <v>912</v>
      </c>
      <c r="N31">
        <f>Shoe_Sales[[#This Row],[Revenue]]-Shoe_Sales[[#This Row],[Cost]]</f>
        <v>444</v>
      </c>
      <c r="O31" s="3">
        <f>Shoe_Sales[[#This Row],[Profit]]/Shoe_Sales[[#This Row],[Revenue]]</f>
        <v>0.48684210526315791</v>
      </c>
    </row>
    <row r="32" spans="1:15" x14ac:dyDescent="0.35">
      <c r="A32" s="2" t="s">
        <v>81</v>
      </c>
      <c r="B32" s="2">
        <v>46037</v>
      </c>
      <c r="C32" t="s">
        <v>13</v>
      </c>
      <c r="D32" t="s">
        <v>25</v>
      </c>
      <c r="E32" t="s">
        <v>11</v>
      </c>
      <c r="F32" t="s">
        <v>29</v>
      </c>
      <c r="G32" t="s">
        <v>18</v>
      </c>
      <c r="H32">
        <v>8</v>
      </c>
      <c r="I32" t="s">
        <v>46</v>
      </c>
      <c r="J32">
        <f>VLOOKUP(Shoe_Sales[[#This Row],[Product]],products!$A$1:$C$9,3,0)</f>
        <v>67</v>
      </c>
      <c r="K32">
        <f>VLOOKUP(Shoe_Sales[[#This Row],[Product]],products!$A$1:$C$9,2,FALSE)</f>
        <v>119</v>
      </c>
      <c r="L32">
        <f>Shoe_Sales[[#This Row],[Cost Price]]*Shoe_Sales[[#This Row],[Quantity]]</f>
        <v>536</v>
      </c>
      <c r="M32">
        <f>Shoe_Sales[[#This Row],[Selling Price]]*Shoe_Sales[[#This Row],[Quantity]]</f>
        <v>952</v>
      </c>
      <c r="N32">
        <f>Shoe_Sales[[#This Row],[Revenue]]-Shoe_Sales[[#This Row],[Cost]]</f>
        <v>416</v>
      </c>
      <c r="O32" s="3">
        <f>Shoe_Sales[[#This Row],[Profit]]/Shoe_Sales[[#This Row],[Revenue]]</f>
        <v>0.43697478991596639</v>
      </c>
    </row>
    <row r="33" spans="1:15" x14ac:dyDescent="0.35">
      <c r="A33" s="2" t="s">
        <v>82</v>
      </c>
      <c r="B33" s="2">
        <v>46037</v>
      </c>
      <c r="C33" t="s">
        <v>33</v>
      </c>
      <c r="D33" t="s">
        <v>25</v>
      </c>
      <c r="E33" t="s">
        <v>14</v>
      </c>
      <c r="F33" t="s">
        <v>17</v>
      </c>
      <c r="G33" t="s">
        <v>37</v>
      </c>
      <c r="H33">
        <v>7</v>
      </c>
      <c r="I33" t="s">
        <v>47</v>
      </c>
      <c r="J33">
        <f>VLOOKUP(Shoe_Sales[[#This Row],[Product]],products!$A$1:$C$9,3,0)</f>
        <v>28</v>
      </c>
      <c r="K33">
        <f>VLOOKUP(Shoe_Sales[[#This Row],[Product]],products!$A$1:$C$9,2,FALSE)</f>
        <v>54</v>
      </c>
      <c r="L33">
        <f>Shoe_Sales[[#This Row],[Cost Price]]*Shoe_Sales[[#This Row],[Quantity]]</f>
        <v>196</v>
      </c>
      <c r="M33">
        <f>Shoe_Sales[[#This Row],[Selling Price]]*Shoe_Sales[[#This Row],[Quantity]]</f>
        <v>378</v>
      </c>
      <c r="N33">
        <f>Shoe_Sales[[#This Row],[Revenue]]-Shoe_Sales[[#This Row],[Cost]]</f>
        <v>182</v>
      </c>
      <c r="O33" s="3">
        <f>Shoe_Sales[[#This Row],[Profit]]/Shoe_Sales[[#This Row],[Revenue]]</f>
        <v>0.48148148148148145</v>
      </c>
    </row>
    <row r="34" spans="1:15" x14ac:dyDescent="0.35">
      <c r="A34" s="2" t="s">
        <v>83</v>
      </c>
      <c r="B34" s="2">
        <v>46037</v>
      </c>
      <c r="C34" t="s">
        <v>42</v>
      </c>
      <c r="D34" t="s">
        <v>25</v>
      </c>
      <c r="E34" t="s">
        <v>11</v>
      </c>
      <c r="F34" t="s">
        <v>17</v>
      </c>
      <c r="G34" t="s">
        <v>37</v>
      </c>
      <c r="H34">
        <v>9</v>
      </c>
      <c r="I34" t="s">
        <v>46</v>
      </c>
      <c r="J34">
        <f>VLOOKUP(Shoe_Sales[[#This Row],[Product]],products!$A$1:$C$9,3,0)</f>
        <v>47</v>
      </c>
      <c r="K34">
        <f>VLOOKUP(Shoe_Sales[[#This Row],[Product]],products!$A$1:$C$9,2,FALSE)</f>
        <v>89</v>
      </c>
      <c r="L34">
        <f>Shoe_Sales[[#This Row],[Cost Price]]*Shoe_Sales[[#This Row],[Quantity]]</f>
        <v>423</v>
      </c>
      <c r="M34">
        <f>Shoe_Sales[[#This Row],[Selling Price]]*Shoe_Sales[[#This Row],[Quantity]]</f>
        <v>801</v>
      </c>
      <c r="N34">
        <f>Shoe_Sales[[#This Row],[Revenue]]-Shoe_Sales[[#This Row],[Cost]]</f>
        <v>378</v>
      </c>
      <c r="O34" s="3">
        <f>Shoe_Sales[[#This Row],[Profit]]/Shoe_Sales[[#This Row],[Revenue]]</f>
        <v>0.47191011235955055</v>
      </c>
    </row>
    <row r="35" spans="1:15" x14ac:dyDescent="0.35">
      <c r="A35" s="2" t="s">
        <v>84</v>
      </c>
      <c r="B35" s="2">
        <v>46037</v>
      </c>
      <c r="C35" t="s">
        <v>33</v>
      </c>
      <c r="D35" t="s">
        <v>19</v>
      </c>
      <c r="E35" t="s">
        <v>14</v>
      </c>
      <c r="F35" t="s">
        <v>40</v>
      </c>
      <c r="G35" t="s">
        <v>18</v>
      </c>
      <c r="H35">
        <v>15</v>
      </c>
      <c r="I35" t="s">
        <v>48</v>
      </c>
      <c r="J35">
        <f>VLOOKUP(Shoe_Sales[[#This Row],[Product]],products!$A$1:$C$9,3,0)</f>
        <v>28</v>
      </c>
      <c r="K35">
        <f>VLOOKUP(Shoe_Sales[[#This Row],[Product]],products!$A$1:$C$9,2,FALSE)</f>
        <v>54</v>
      </c>
      <c r="L35">
        <f>Shoe_Sales[[#This Row],[Cost Price]]*Shoe_Sales[[#This Row],[Quantity]]</f>
        <v>420</v>
      </c>
      <c r="M35">
        <f>Shoe_Sales[[#This Row],[Selling Price]]*Shoe_Sales[[#This Row],[Quantity]]</f>
        <v>810</v>
      </c>
      <c r="N35">
        <f>Shoe_Sales[[#This Row],[Revenue]]-Shoe_Sales[[#This Row],[Cost]]</f>
        <v>390</v>
      </c>
      <c r="O35" s="3">
        <f>Shoe_Sales[[#This Row],[Profit]]/Shoe_Sales[[#This Row],[Revenue]]</f>
        <v>0.48148148148148145</v>
      </c>
    </row>
    <row r="36" spans="1:15" x14ac:dyDescent="0.35">
      <c r="A36" s="2" t="s">
        <v>85</v>
      </c>
      <c r="B36" s="2">
        <v>46038</v>
      </c>
      <c r="C36" t="s">
        <v>27</v>
      </c>
      <c r="D36" t="s">
        <v>25</v>
      </c>
      <c r="E36" t="s">
        <v>20</v>
      </c>
      <c r="F36" t="s">
        <v>8</v>
      </c>
      <c r="G36" t="s">
        <v>32</v>
      </c>
      <c r="H36">
        <v>10</v>
      </c>
      <c r="I36" t="s">
        <v>47</v>
      </c>
      <c r="J36">
        <f>VLOOKUP(Shoe_Sales[[#This Row],[Product]],products!$A$1:$C$9,3,0)</f>
        <v>14</v>
      </c>
      <c r="K36">
        <f>VLOOKUP(Shoe_Sales[[#This Row],[Product]],products!$A$1:$C$9,2,FALSE)</f>
        <v>32</v>
      </c>
      <c r="L36">
        <f>Shoe_Sales[[#This Row],[Cost Price]]*Shoe_Sales[[#This Row],[Quantity]]</f>
        <v>140</v>
      </c>
      <c r="M36">
        <f>Shoe_Sales[[#This Row],[Selling Price]]*Shoe_Sales[[#This Row],[Quantity]]</f>
        <v>320</v>
      </c>
      <c r="N36">
        <f>Shoe_Sales[[#This Row],[Revenue]]-Shoe_Sales[[#This Row],[Cost]]</f>
        <v>180</v>
      </c>
      <c r="O36" s="3">
        <f>Shoe_Sales[[#This Row],[Profit]]/Shoe_Sales[[#This Row],[Revenue]]</f>
        <v>0.5625</v>
      </c>
    </row>
    <row r="37" spans="1:15" x14ac:dyDescent="0.35">
      <c r="A37" s="2" t="s">
        <v>86</v>
      </c>
      <c r="B37" s="2">
        <v>46039</v>
      </c>
      <c r="C37" t="s">
        <v>22</v>
      </c>
      <c r="D37" t="s">
        <v>25</v>
      </c>
      <c r="E37" t="s">
        <v>14</v>
      </c>
      <c r="F37" t="s">
        <v>40</v>
      </c>
      <c r="G37" t="s">
        <v>37</v>
      </c>
      <c r="H37">
        <v>4</v>
      </c>
      <c r="I37" t="s">
        <v>45</v>
      </c>
      <c r="J37">
        <f>VLOOKUP(Shoe_Sales[[#This Row],[Product]],products!$A$1:$C$9,3,0)</f>
        <v>58</v>
      </c>
      <c r="K37">
        <f>VLOOKUP(Shoe_Sales[[#This Row],[Product]],products!$A$1:$C$9,2,FALSE)</f>
        <v>105</v>
      </c>
      <c r="L37">
        <f>Shoe_Sales[[#This Row],[Cost Price]]*Shoe_Sales[[#This Row],[Quantity]]</f>
        <v>232</v>
      </c>
      <c r="M37">
        <f>Shoe_Sales[[#This Row],[Selling Price]]*Shoe_Sales[[#This Row],[Quantity]]</f>
        <v>420</v>
      </c>
      <c r="N37">
        <f>Shoe_Sales[[#This Row],[Revenue]]-Shoe_Sales[[#This Row],[Cost]]</f>
        <v>188</v>
      </c>
      <c r="O37" s="3">
        <f>Shoe_Sales[[#This Row],[Profit]]/Shoe_Sales[[#This Row],[Revenue]]</f>
        <v>0.44761904761904764</v>
      </c>
    </row>
    <row r="38" spans="1:15" x14ac:dyDescent="0.35">
      <c r="A38" s="2" t="s">
        <v>87</v>
      </c>
      <c r="B38" s="2">
        <v>46040</v>
      </c>
      <c r="C38" t="s">
        <v>27</v>
      </c>
      <c r="D38" t="s">
        <v>25</v>
      </c>
      <c r="E38" t="s">
        <v>16</v>
      </c>
      <c r="F38" t="s">
        <v>8</v>
      </c>
      <c r="G38" t="s">
        <v>12</v>
      </c>
      <c r="H38">
        <v>8</v>
      </c>
      <c r="I38" t="s">
        <v>47</v>
      </c>
      <c r="J38">
        <f>VLOOKUP(Shoe_Sales[[#This Row],[Product]],products!$A$1:$C$9,3,0)</f>
        <v>14</v>
      </c>
      <c r="K38">
        <f>VLOOKUP(Shoe_Sales[[#This Row],[Product]],products!$A$1:$C$9,2,FALSE)</f>
        <v>32</v>
      </c>
      <c r="L38">
        <f>Shoe_Sales[[#This Row],[Cost Price]]*Shoe_Sales[[#This Row],[Quantity]]</f>
        <v>112</v>
      </c>
      <c r="M38">
        <f>Shoe_Sales[[#This Row],[Selling Price]]*Shoe_Sales[[#This Row],[Quantity]]</f>
        <v>256</v>
      </c>
      <c r="N38">
        <f>Shoe_Sales[[#This Row],[Revenue]]-Shoe_Sales[[#This Row],[Cost]]</f>
        <v>144</v>
      </c>
      <c r="O38" s="3">
        <f>Shoe_Sales[[#This Row],[Profit]]/Shoe_Sales[[#This Row],[Revenue]]</f>
        <v>0.5625</v>
      </c>
    </row>
    <row r="39" spans="1:15" x14ac:dyDescent="0.35">
      <c r="A39" s="2" t="s">
        <v>88</v>
      </c>
      <c r="B39" s="2">
        <v>46040</v>
      </c>
      <c r="C39" t="s">
        <v>38</v>
      </c>
      <c r="D39" t="s">
        <v>25</v>
      </c>
      <c r="E39" t="s">
        <v>11</v>
      </c>
      <c r="F39" t="s">
        <v>17</v>
      </c>
      <c r="G39" t="s">
        <v>32</v>
      </c>
      <c r="H39">
        <v>4</v>
      </c>
      <c r="I39" t="s">
        <v>47</v>
      </c>
      <c r="J39">
        <f>VLOOKUP(Shoe_Sales[[#This Row],[Product]],products!$A$1:$C$9,3,0)</f>
        <v>64</v>
      </c>
      <c r="K39">
        <f>VLOOKUP(Shoe_Sales[[#This Row],[Product]],products!$A$1:$C$9,2,FALSE)</f>
        <v>112</v>
      </c>
      <c r="L39">
        <f>Shoe_Sales[[#This Row],[Cost Price]]*Shoe_Sales[[#This Row],[Quantity]]</f>
        <v>256</v>
      </c>
      <c r="M39">
        <f>Shoe_Sales[[#This Row],[Selling Price]]*Shoe_Sales[[#This Row],[Quantity]]</f>
        <v>448</v>
      </c>
      <c r="N39">
        <f>Shoe_Sales[[#This Row],[Revenue]]-Shoe_Sales[[#This Row],[Cost]]</f>
        <v>192</v>
      </c>
      <c r="O39" s="3">
        <f>Shoe_Sales[[#This Row],[Profit]]/Shoe_Sales[[#This Row],[Revenue]]</f>
        <v>0.42857142857142855</v>
      </c>
    </row>
    <row r="40" spans="1:15" x14ac:dyDescent="0.35">
      <c r="A40" s="2" t="s">
        <v>89</v>
      </c>
      <c r="B40" s="2">
        <v>46041</v>
      </c>
      <c r="C40" t="s">
        <v>42</v>
      </c>
      <c r="D40" t="s">
        <v>25</v>
      </c>
      <c r="E40" t="s">
        <v>20</v>
      </c>
      <c r="F40" t="s">
        <v>8</v>
      </c>
      <c r="G40" t="s">
        <v>28</v>
      </c>
      <c r="H40">
        <v>5</v>
      </c>
      <c r="I40" t="s">
        <v>48</v>
      </c>
      <c r="J40">
        <f>VLOOKUP(Shoe_Sales[[#This Row],[Product]],products!$A$1:$C$9,3,0)</f>
        <v>47</v>
      </c>
      <c r="K40">
        <f>VLOOKUP(Shoe_Sales[[#This Row],[Product]],products!$A$1:$C$9,2,FALSE)</f>
        <v>89</v>
      </c>
      <c r="L40">
        <f>Shoe_Sales[[#This Row],[Cost Price]]*Shoe_Sales[[#This Row],[Quantity]]</f>
        <v>235</v>
      </c>
      <c r="M40">
        <f>Shoe_Sales[[#This Row],[Selling Price]]*Shoe_Sales[[#This Row],[Quantity]]</f>
        <v>445</v>
      </c>
      <c r="N40">
        <f>Shoe_Sales[[#This Row],[Revenue]]-Shoe_Sales[[#This Row],[Cost]]</f>
        <v>210</v>
      </c>
      <c r="O40" s="3">
        <f>Shoe_Sales[[#This Row],[Profit]]/Shoe_Sales[[#This Row],[Revenue]]</f>
        <v>0.47191011235955055</v>
      </c>
    </row>
    <row r="41" spans="1:15" x14ac:dyDescent="0.35">
      <c r="A41" s="2" t="s">
        <v>90</v>
      </c>
      <c r="B41" s="2">
        <v>46041</v>
      </c>
      <c r="C41" t="s">
        <v>27</v>
      </c>
      <c r="D41" t="s">
        <v>19</v>
      </c>
      <c r="E41" t="s">
        <v>16</v>
      </c>
      <c r="F41" t="s">
        <v>29</v>
      </c>
      <c r="G41" t="s">
        <v>28</v>
      </c>
      <c r="H41">
        <v>7</v>
      </c>
      <c r="I41" t="s">
        <v>47</v>
      </c>
      <c r="J41">
        <f>VLOOKUP(Shoe_Sales[[#This Row],[Product]],products!$A$1:$C$9,3,0)</f>
        <v>14</v>
      </c>
      <c r="K41">
        <f>VLOOKUP(Shoe_Sales[[#This Row],[Product]],products!$A$1:$C$9,2,FALSE)</f>
        <v>32</v>
      </c>
      <c r="L41">
        <f>Shoe_Sales[[#This Row],[Cost Price]]*Shoe_Sales[[#This Row],[Quantity]]</f>
        <v>98</v>
      </c>
      <c r="M41">
        <f>Shoe_Sales[[#This Row],[Selling Price]]*Shoe_Sales[[#This Row],[Quantity]]</f>
        <v>224</v>
      </c>
      <c r="N41">
        <f>Shoe_Sales[[#This Row],[Revenue]]-Shoe_Sales[[#This Row],[Cost]]</f>
        <v>126</v>
      </c>
      <c r="O41" s="3">
        <f>Shoe_Sales[[#This Row],[Profit]]/Shoe_Sales[[#This Row],[Revenue]]</f>
        <v>0.5625</v>
      </c>
    </row>
    <row r="42" spans="1:15" x14ac:dyDescent="0.35">
      <c r="A42" s="2" t="s">
        <v>91</v>
      </c>
      <c r="B42" s="2">
        <v>46041</v>
      </c>
      <c r="C42" t="s">
        <v>42</v>
      </c>
      <c r="D42" t="s">
        <v>31</v>
      </c>
      <c r="E42" t="s">
        <v>11</v>
      </c>
      <c r="F42" t="s">
        <v>35</v>
      </c>
      <c r="G42" t="s">
        <v>21</v>
      </c>
      <c r="H42">
        <v>6</v>
      </c>
      <c r="I42" t="s">
        <v>48</v>
      </c>
      <c r="J42">
        <f>VLOOKUP(Shoe_Sales[[#This Row],[Product]],products!$A$1:$C$9,3,0)</f>
        <v>47</v>
      </c>
      <c r="K42">
        <f>VLOOKUP(Shoe_Sales[[#This Row],[Product]],products!$A$1:$C$9,2,FALSE)</f>
        <v>89</v>
      </c>
      <c r="L42">
        <f>Shoe_Sales[[#This Row],[Cost Price]]*Shoe_Sales[[#This Row],[Quantity]]</f>
        <v>282</v>
      </c>
      <c r="M42">
        <f>Shoe_Sales[[#This Row],[Selling Price]]*Shoe_Sales[[#This Row],[Quantity]]</f>
        <v>534</v>
      </c>
      <c r="N42">
        <f>Shoe_Sales[[#This Row],[Revenue]]-Shoe_Sales[[#This Row],[Cost]]</f>
        <v>252</v>
      </c>
      <c r="O42" s="3">
        <f>Shoe_Sales[[#This Row],[Profit]]/Shoe_Sales[[#This Row],[Revenue]]</f>
        <v>0.47191011235955055</v>
      </c>
    </row>
    <row r="43" spans="1:15" x14ac:dyDescent="0.35">
      <c r="A43" s="2" t="s">
        <v>92</v>
      </c>
      <c r="B43" s="2">
        <v>46041</v>
      </c>
      <c r="C43" t="s">
        <v>33</v>
      </c>
      <c r="D43" t="s">
        <v>25</v>
      </c>
      <c r="E43" t="s">
        <v>7</v>
      </c>
      <c r="F43" t="s">
        <v>40</v>
      </c>
      <c r="G43" t="s">
        <v>18</v>
      </c>
      <c r="H43">
        <v>6</v>
      </c>
      <c r="I43" t="s">
        <v>47</v>
      </c>
      <c r="J43">
        <f>VLOOKUP(Shoe_Sales[[#This Row],[Product]],products!$A$1:$C$9,3,0)</f>
        <v>28</v>
      </c>
      <c r="K43">
        <f>VLOOKUP(Shoe_Sales[[#This Row],[Product]],products!$A$1:$C$9,2,FALSE)</f>
        <v>54</v>
      </c>
      <c r="L43">
        <f>Shoe_Sales[[#This Row],[Cost Price]]*Shoe_Sales[[#This Row],[Quantity]]</f>
        <v>168</v>
      </c>
      <c r="M43">
        <f>Shoe_Sales[[#This Row],[Selling Price]]*Shoe_Sales[[#This Row],[Quantity]]</f>
        <v>324</v>
      </c>
      <c r="N43">
        <f>Shoe_Sales[[#This Row],[Revenue]]-Shoe_Sales[[#This Row],[Cost]]</f>
        <v>156</v>
      </c>
      <c r="O43" s="3">
        <f>Shoe_Sales[[#This Row],[Profit]]/Shoe_Sales[[#This Row],[Revenue]]</f>
        <v>0.48148148148148145</v>
      </c>
    </row>
    <row r="44" spans="1:15" x14ac:dyDescent="0.35">
      <c r="A44" s="2" t="s">
        <v>93</v>
      </c>
      <c r="B44" s="2">
        <v>46042</v>
      </c>
      <c r="C44" t="s">
        <v>27</v>
      </c>
      <c r="D44" t="s">
        <v>10</v>
      </c>
      <c r="E44" t="s">
        <v>20</v>
      </c>
      <c r="F44" t="s">
        <v>8</v>
      </c>
      <c r="G44" t="s">
        <v>23</v>
      </c>
      <c r="H44">
        <v>4</v>
      </c>
      <c r="I44" t="s">
        <v>47</v>
      </c>
      <c r="J44">
        <f>VLOOKUP(Shoe_Sales[[#This Row],[Product]],products!$A$1:$C$9,3,0)</f>
        <v>14</v>
      </c>
      <c r="K44">
        <f>VLOOKUP(Shoe_Sales[[#This Row],[Product]],products!$A$1:$C$9,2,FALSE)</f>
        <v>32</v>
      </c>
      <c r="L44">
        <f>Shoe_Sales[[#This Row],[Cost Price]]*Shoe_Sales[[#This Row],[Quantity]]</f>
        <v>56</v>
      </c>
      <c r="M44">
        <f>Shoe_Sales[[#This Row],[Selling Price]]*Shoe_Sales[[#This Row],[Quantity]]</f>
        <v>128</v>
      </c>
      <c r="N44">
        <f>Shoe_Sales[[#This Row],[Revenue]]-Shoe_Sales[[#This Row],[Cost]]</f>
        <v>72</v>
      </c>
      <c r="O44" s="3">
        <f>Shoe_Sales[[#This Row],[Profit]]/Shoe_Sales[[#This Row],[Revenue]]</f>
        <v>0.5625</v>
      </c>
    </row>
    <row r="45" spans="1:15" x14ac:dyDescent="0.35">
      <c r="A45" s="2" t="s">
        <v>94</v>
      </c>
      <c r="B45" s="2">
        <v>46042</v>
      </c>
      <c r="C45" t="s">
        <v>41</v>
      </c>
      <c r="D45" t="s">
        <v>19</v>
      </c>
      <c r="E45" t="s">
        <v>20</v>
      </c>
      <c r="F45" t="s">
        <v>35</v>
      </c>
      <c r="G45" t="s">
        <v>34</v>
      </c>
      <c r="H45">
        <v>1</v>
      </c>
      <c r="I45" t="s">
        <v>47</v>
      </c>
      <c r="J45">
        <f>VLOOKUP(Shoe_Sales[[#This Row],[Product]],products!$A$1:$C$9,3,0)</f>
        <v>39</v>
      </c>
      <c r="K45">
        <f>VLOOKUP(Shoe_Sales[[#This Row],[Product]],products!$A$1:$C$9,2,FALSE)</f>
        <v>76</v>
      </c>
      <c r="L45">
        <f>Shoe_Sales[[#This Row],[Cost Price]]*Shoe_Sales[[#This Row],[Quantity]]</f>
        <v>39</v>
      </c>
      <c r="M45">
        <f>Shoe_Sales[[#This Row],[Selling Price]]*Shoe_Sales[[#This Row],[Quantity]]</f>
        <v>76</v>
      </c>
      <c r="N45">
        <f>Shoe_Sales[[#This Row],[Revenue]]-Shoe_Sales[[#This Row],[Cost]]</f>
        <v>37</v>
      </c>
      <c r="O45" s="3">
        <f>Shoe_Sales[[#This Row],[Profit]]/Shoe_Sales[[#This Row],[Revenue]]</f>
        <v>0.48684210526315791</v>
      </c>
    </row>
    <row r="46" spans="1:15" x14ac:dyDescent="0.35">
      <c r="A46" s="2" t="s">
        <v>95</v>
      </c>
      <c r="B46" s="2">
        <v>46043</v>
      </c>
      <c r="C46" t="s">
        <v>22</v>
      </c>
      <c r="D46" t="s">
        <v>25</v>
      </c>
      <c r="E46" t="s">
        <v>14</v>
      </c>
      <c r="F46" t="s">
        <v>17</v>
      </c>
      <c r="G46" t="s">
        <v>32</v>
      </c>
      <c r="H46">
        <v>14</v>
      </c>
      <c r="I46" t="s">
        <v>47</v>
      </c>
      <c r="J46">
        <f>VLOOKUP(Shoe_Sales[[#This Row],[Product]],products!$A$1:$C$9,3,0)</f>
        <v>58</v>
      </c>
      <c r="K46">
        <f>VLOOKUP(Shoe_Sales[[#This Row],[Product]],products!$A$1:$C$9,2,FALSE)</f>
        <v>105</v>
      </c>
      <c r="L46">
        <f>Shoe_Sales[[#This Row],[Cost Price]]*Shoe_Sales[[#This Row],[Quantity]]</f>
        <v>812</v>
      </c>
      <c r="M46">
        <f>Shoe_Sales[[#This Row],[Selling Price]]*Shoe_Sales[[#This Row],[Quantity]]</f>
        <v>1470</v>
      </c>
      <c r="N46">
        <f>Shoe_Sales[[#This Row],[Revenue]]-Shoe_Sales[[#This Row],[Cost]]</f>
        <v>658</v>
      </c>
      <c r="O46" s="3">
        <f>Shoe_Sales[[#This Row],[Profit]]/Shoe_Sales[[#This Row],[Revenue]]</f>
        <v>0.44761904761904764</v>
      </c>
    </row>
    <row r="47" spans="1:15" x14ac:dyDescent="0.35">
      <c r="A47" s="2" t="s">
        <v>96</v>
      </c>
      <c r="B47" s="2">
        <v>46044</v>
      </c>
      <c r="C47" t="s">
        <v>41</v>
      </c>
      <c r="D47" t="s">
        <v>25</v>
      </c>
      <c r="E47" t="s">
        <v>7</v>
      </c>
      <c r="F47" t="s">
        <v>8</v>
      </c>
      <c r="G47" t="s">
        <v>21</v>
      </c>
      <c r="H47">
        <v>3</v>
      </c>
      <c r="I47" t="s">
        <v>46</v>
      </c>
      <c r="J47">
        <f>VLOOKUP(Shoe_Sales[[#This Row],[Product]],products!$A$1:$C$9,3,0)</f>
        <v>39</v>
      </c>
      <c r="K47">
        <f>VLOOKUP(Shoe_Sales[[#This Row],[Product]],products!$A$1:$C$9,2,FALSE)</f>
        <v>76</v>
      </c>
      <c r="L47">
        <f>Shoe_Sales[[#This Row],[Cost Price]]*Shoe_Sales[[#This Row],[Quantity]]</f>
        <v>117</v>
      </c>
      <c r="M47">
        <f>Shoe_Sales[[#This Row],[Selling Price]]*Shoe_Sales[[#This Row],[Quantity]]</f>
        <v>228</v>
      </c>
      <c r="N47">
        <f>Shoe_Sales[[#This Row],[Revenue]]-Shoe_Sales[[#This Row],[Cost]]</f>
        <v>111</v>
      </c>
      <c r="O47" s="3">
        <f>Shoe_Sales[[#This Row],[Profit]]/Shoe_Sales[[#This Row],[Revenue]]</f>
        <v>0.48684210526315791</v>
      </c>
    </row>
    <row r="48" spans="1:15" x14ac:dyDescent="0.35">
      <c r="A48" s="2" t="s">
        <v>97</v>
      </c>
      <c r="B48" s="2">
        <v>46044</v>
      </c>
      <c r="C48" t="s">
        <v>13</v>
      </c>
      <c r="D48" t="s">
        <v>10</v>
      </c>
      <c r="E48" t="s">
        <v>14</v>
      </c>
      <c r="F48" t="s">
        <v>40</v>
      </c>
      <c r="G48" t="s">
        <v>9</v>
      </c>
      <c r="H48">
        <v>7</v>
      </c>
      <c r="I48" t="s">
        <v>46</v>
      </c>
      <c r="J48">
        <f>VLOOKUP(Shoe_Sales[[#This Row],[Product]],products!$A$1:$C$9,3,0)</f>
        <v>67</v>
      </c>
      <c r="K48">
        <f>VLOOKUP(Shoe_Sales[[#This Row],[Product]],products!$A$1:$C$9,2,FALSE)</f>
        <v>119</v>
      </c>
      <c r="L48">
        <f>Shoe_Sales[[#This Row],[Cost Price]]*Shoe_Sales[[#This Row],[Quantity]]</f>
        <v>469</v>
      </c>
      <c r="M48">
        <f>Shoe_Sales[[#This Row],[Selling Price]]*Shoe_Sales[[#This Row],[Quantity]]</f>
        <v>833</v>
      </c>
      <c r="N48">
        <f>Shoe_Sales[[#This Row],[Revenue]]-Shoe_Sales[[#This Row],[Cost]]</f>
        <v>364</v>
      </c>
      <c r="O48" s="3">
        <f>Shoe_Sales[[#This Row],[Profit]]/Shoe_Sales[[#This Row],[Revenue]]</f>
        <v>0.43697478991596639</v>
      </c>
    </row>
    <row r="49" spans="1:15" x14ac:dyDescent="0.35">
      <c r="A49" s="2" t="s">
        <v>98</v>
      </c>
      <c r="B49" s="2">
        <v>46045</v>
      </c>
      <c r="C49" t="s">
        <v>13</v>
      </c>
      <c r="D49" t="s">
        <v>25</v>
      </c>
      <c r="E49" t="s">
        <v>14</v>
      </c>
      <c r="F49" t="s">
        <v>40</v>
      </c>
      <c r="G49" t="s">
        <v>9</v>
      </c>
      <c r="H49">
        <v>1</v>
      </c>
      <c r="I49" t="s">
        <v>45</v>
      </c>
      <c r="J49">
        <f>VLOOKUP(Shoe_Sales[[#This Row],[Product]],products!$A$1:$C$9,3,0)</f>
        <v>67</v>
      </c>
      <c r="K49">
        <f>VLOOKUP(Shoe_Sales[[#This Row],[Product]],products!$A$1:$C$9,2,FALSE)</f>
        <v>119</v>
      </c>
      <c r="L49">
        <f>Shoe_Sales[[#This Row],[Cost Price]]*Shoe_Sales[[#This Row],[Quantity]]</f>
        <v>67</v>
      </c>
      <c r="M49">
        <f>Shoe_Sales[[#This Row],[Selling Price]]*Shoe_Sales[[#This Row],[Quantity]]</f>
        <v>119</v>
      </c>
      <c r="N49">
        <f>Shoe_Sales[[#This Row],[Revenue]]-Shoe_Sales[[#This Row],[Cost]]</f>
        <v>52</v>
      </c>
      <c r="O49" s="3">
        <f>Shoe_Sales[[#This Row],[Profit]]/Shoe_Sales[[#This Row],[Revenue]]</f>
        <v>0.43697478991596639</v>
      </c>
    </row>
    <row r="50" spans="1:15" x14ac:dyDescent="0.35">
      <c r="A50" s="2" t="s">
        <v>99</v>
      </c>
      <c r="B50" s="2">
        <v>46045</v>
      </c>
      <c r="C50" t="s">
        <v>33</v>
      </c>
      <c r="D50" t="s">
        <v>25</v>
      </c>
      <c r="E50" t="s">
        <v>14</v>
      </c>
      <c r="F50" t="s">
        <v>40</v>
      </c>
      <c r="G50" t="s">
        <v>24</v>
      </c>
      <c r="H50">
        <v>5</v>
      </c>
      <c r="I50" t="s">
        <v>45</v>
      </c>
      <c r="J50">
        <f>VLOOKUP(Shoe_Sales[[#This Row],[Product]],products!$A$1:$C$9,3,0)</f>
        <v>28</v>
      </c>
      <c r="K50">
        <f>VLOOKUP(Shoe_Sales[[#This Row],[Product]],products!$A$1:$C$9,2,FALSE)</f>
        <v>54</v>
      </c>
      <c r="L50">
        <f>Shoe_Sales[[#This Row],[Cost Price]]*Shoe_Sales[[#This Row],[Quantity]]</f>
        <v>140</v>
      </c>
      <c r="M50">
        <f>Shoe_Sales[[#This Row],[Selling Price]]*Shoe_Sales[[#This Row],[Quantity]]</f>
        <v>270</v>
      </c>
      <c r="N50">
        <f>Shoe_Sales[[#This Row],[Revenue]]-Shoe_Sales[[#This Row],[Cost]]</f>
        <v>130</v>
      </c>
      <c r="O50" s="3">
        <f>Shoe_Sales[[#This Row],[Profit]]/Shoe_Sales[[#This Row],[Revenue]]</f>
        <v>0.48148148148148145</v>
      </c>
    </row>
    <row r="51" spans="1:15" x14ac:dyDescent="0.35">
      <c r="A51" s="2" t="s">
        <v>100</v>
      </c>
      <c r="B51" s="2">
        <v>46046</v>
      </c>
      <c r="C51" t="s">
        <v>33</v>
      </c>
      <c r="D51" t="s">
        <v>10</v>
      </c>
      <c r="E51" t="s">
        <v>14</v>
      </c>
      <c r="F51" t="s">
        <v>29</v>
      </c>
      <c r="G51" t="s">
        <v>24</v>
      </c>
      <c r="H51">
        <v>10</v>
      </c>
      <c r="I51" t="s">
        <v>46</v>
      </c>
      <c r="J51">
        <f>VLOOKUP(Shoe_Sales[[#This Row],[Product]],products!$A$1:$C$9,3,0)</f>
        <v>28</v>
      </c>
      <c r="K51">
        <f>VLOOKUP(Shoe_Sales[[#This Row],[Product]],products!$A$1:$C$9,2,FALSE)</f>
        <v>54</v>
      </c>
      <c r="L51">
        <f>Shoe_Sales[[#This Row],[Cost Price]]*Shoe_Sales[[#This Row],[Quantity]]</f>
        <v>280</v>
      </c>
      <c r="M51">
        <f>Shoe_Sales[[#This Row],[Selling Price]]*Shoe_Sales[[#This Row],[Quantity]]</f>
        <v>540</v>
      </c>
      <c r="N51">
        <f>Shoe_Sales[[#This Row],[Revenue]]-Shoe_Sales[[#This Row],[Cost]]</f>
        <v>260</v>
      </c>
      <c r="O51" s="3">
        <f>Shoe_Sales[[#This Row],[Profit]]/Shoe_Sales[[#This Row],[Revenue]]</f>
        <v>0.48148148148148145</v>
      </c>
    </row>
    <row r="52" spans="1:15" x14ac:dyDescent="0.35">
      <c r="A52" s="2" t="s">
        <v>101</v>
      </c>
      <c r="B52" s="2">
        <v>46046</v>
      </c>
      <c r="C52" t="s">
        <v>39</v>
      </c>
      <c r="D52" t="s">
        <v>25</v>
      </c>
      <c r="E52" t="s">
        <v>16</v>
      </c>
      <c r="F52" t="s">
        <v>8</v>
      </c>
      <c r="G52" t="s">
        <v>30</v>
      </c>
      <c r="H52">
        <v>8</v>
      </c>
      <c r="I52" t="s">
        <v>45</v>
      </c>
      <c r="J52">
        <f>VLOOKUP(Shoe_Sales[[#This Row],[Product]],products!$A$1:$C$9,3,0)</f>
        <v>72</v>
      </c>
      <c r="K52">
        <f>VLOOKUP(Shoe_Sales[[#This Row],[Product]],products!$A$1:$C$9,2,FALSE)</f>
        <v>128</v>
      </c>
      <c r="L52">
        <f>Shoe_Sales[[#This Row],[Cost Price]]*Shoe_Sales[[#This Row],[Quantity]]</f>
        <v>576</v>
      </c>
      <c r="M52">
        <f>Shoe_Sales[[#This Row],[Selling Price]]*Shoe_Sales[[#This Row],[Quantity]]</f>
        <v>1024</v>
      </c>
      <c r="N52">
        <f>Shoe_Sales[[#This Row],[Revenue]]-Shoe_Sales[[#This Row],[Cost]]</f>
        <v>448</v>
      </c>
      <c r="O52" s="3">
        <f>Shoe_Sales[[#This Row],[Profit]]/Shoe_Sales[[#This Row],[Revenue]]</f>
        <v>0.4375</v>
      </c>
    </row>
    <row r="53" spans="1:15" x14ac:dyDescent="0.35">
      <c r="A53" s="2" t="s">
        <v>102</v>
      </c>
      <c r="B53" s="2">
        <v>46047</v>
      </c>
      <c r="C53" t="s">
        <v>27</v>
      </c>
      <c r="D53" t="s">
        <v>25</v>
      </c>
      <c r="E53" t="s">
        <v>7</v>
      </c>
      <c r="F53" t="s">
        <v>8</v>
      </c>
      <c r="G53" t="s">
        <v>15</v>
      </c>
      <c r="H53">
        <v>5</v>
      </c>
      <c r="I53" t="s">
        <v>47</v>
      </c>
      <c r="J53">
        <f>VLOOKUP(Shoe_Sales[[#This Row],[Product]],products!$A$1:$C$9,3,0)</f>
        <v>14</v>
      </c>
      <c r="K53">
        <f>VLOOKUP(Shoe_Sales[[#This Row],[Product]],products!$A$1:$C$9,2,FALSE)</f>
        <v>32</v>
      </c>
      <c r="L53">
        <f>Shoe_Sales[[#This Row],[Cost Price]]*Shoe_Sales[[#This Row],[Quantity]]</f>
        <v>70</v>
      </c>
      <c r="M53">
        <f>Shoe_Sales[[#This Row],[Selling Price]]*Shoe_Sales[[#This Row],[Quantity]]</f>
        <v>160</v>
      </c>
      <c r="N53">
        <f>Shoe_Sales[[#This Row],[Revenue]]-Shoe_Sales[[#This Row],[Cost]]</f>
        <v>90</v>
      </c>
      <c r="O53" s="3">
        <f>Shoe_Sales[[#This Row],[Profit]]/Shoe_Sales[[#This Row],[Revenue]]</f>
        <v>0.5625</v>
      </c>
    </row>
    <row r="54" spans="1:15" x14ac:dyDescent="0.35">
      <c r="A54" s="2" t="s">
        <v>103</v>
      </c>
      <c r="B54" s="2">
        <v>46047</v>
      </c>
      <c r="C54" t="s">
        <v>22</v>
      </c>
      <c r="D54" t="s">
        <v>19</v>
      </c>
      <c r="E54" t="s">
        <v>7</v>
      </c>
      <c r="F54" t="s">
        <v>8</v>
      </c>
      <c r="G54" t="s">
        <v>23</v>
      </c>
      <c r="H54">
        <v>8</v>
      </c>
      <c r="I54" t="s">
        <v>45</v>
      </c>
      <c r="J54">
        <f>VLOOKUP(Shoe_Sales[[#This Row],[Product]],products!$A$1:$C$9,3,0)</f>
        <v>58</v>
      </c>
      <c r="K54">
        <f>VLOOKUP(Shoe_Sales[[#This Row],[Product]],products!$A$1:$C$9,2,FALSE)</f>
        <v>105</v>
      </c>
      <c r="L54">
        <f>Shoe_Sales[[#This Row],[Cost Price]]*Shoe_Sales[[#This Row],[Quantity]]</f>
        <v>464</v>
      </c>
      <c r="M54">
        <f>Shoe_Sales[[#This Row],[Selling Price]]*Shoe_Sales[[#This Row],[Quantity]]</f>
        <v>840</v>
      </c>
      <c r="N54">
        <f>Shoe_Sales[[#This Row],[Revenue]]-Shoe_Sales[[#This Row],[Cost]]</f>
        <v>376</v>
      </c>
      <c r="O54" s="3">
        <f>Shoe_Sales[[#This Row],[Profit]]/Shoe_Sales[[#This Row],[Revenue]]</f>
        <v>0.44761904761904764</v>
      </c>
    </row>
    <row r="55" spans="1:15" x14ac:dyDescent="0.35">
      <c r="A55" s="2" t="s">
        <v>104</v>
      </c>
      <c r="B55" s="2">
        <v>46047</v>
      </c>
      <c r="C55" t="s">
        <v>39</v>
      </c>
      <c r="D55" t="s">
        <v>31</v>
      </c>
      <c r="E55" t="s">
        <v>14</v>
      </c>
      <c r="F55" t="s">
        <v>17</v>
      </c>
      <c r="G55" t="s">
        <v>15</v>
      </c>
      <c r="H55">
        <v>14</v>
      </c>
      <c r="I55" t="s">
        <v>46</v>
      </c>
      <c r="J55">
        <f>VLOOKUP(Shoe_Sales[[#This Row],[Product]],products!$A$1:$C$9,3,0)</f>
        <v>72</v>
      </c>
      <c r="K55">
        <f>VLOOKUP(Shoe_Sales[[#This Row],[Product]],products!$A$1:$C$9,2,FALSE)</f>
        <v>128</v>
      </c>
      <c r="L55">
        <f>Shoe_Sales[[#This Row],[Cost Price]]*Shoe_Sales[[#This Row],[Quantity]]</f>
        <v>1008</v>
      </c>
      <c r="M55">
        <f>Shoe_Sales[[#This Row],[Selling Price]]*Shoe_Sales[[#This Row],[Quantity]]</f>
        <v>1792</v>
      </c>
      <c r="N55">
        <f>Shoe_Sales[[#This Row],[Revenue]]-Shoe_Sales[[#This Row],[Cost]]</f>
        <v>784</v>
      </c>
      <c r="O55" s="3">
        <f>Shoe_Sales[[#This Row],[Profit]]/Shoe_Sales[[#This Row],[Revenue]]</f>
        <v>0.4375</v>
      </c>
    </row>
    <row r="56" spans="1:15" x14ac:dyDescent="0.35">
      <c r="A56" s="2" t="s">
        <v>105</v>
      </c>
      <c r="B56" s="2">
        <v>46047</v>
      </c>
      <c r="C56" t="s">
        <v>42</v>
      </c>
      <c r="D56" t="s">
        <v>25</v>
      </c>
      <c r="E56" t="s">
        <v>11</v>
      </c>
      <c r="F56" t="s">
        <v>17</v>
      </c>
      <c r="G56" t="s">
        <v>37</v>
      </c>
      <c r="H56">
        <v>5</v>
      </c>
      <c r="I56" t="s">
        <v>47</v>
      </c>
      <c r="J56">
        <f>VLOOKUP(Shoe_Sales[[#This Row],[Product]],products!$A$1:$C$9,3,0)</f>
        <v>47</v>
      </c>
      <c r="K56">
        <f>VLOOKUP(Shoe_Sales[[#This Row],[Product]],products!$A$1:$C$9,2,FALSE)</f>
        <v>89</v>
      </c>
      <c r="L56">
        <f>Shoe_Sales[[#This Row],[Cost Price]]*Shoe_Sales[[#This Row],[Quantity]]</f>
        <v>235</v>
      </c>
      <c r="M56">
        <f>Shoe_Sales[[#This Row],[Selling Price]]*Shoe_Sales[[#This Row],[Quantity]]</f>
        <v>445</v>
      </c>
      <c r="N56">
        <f>Shoe_Sales[[#This Row],[Revenue]]-Shoe_Sales[[#This Row],[Cost]]</f>
        <v>210</v>
      </c>
      <c r="O56" s="3">
        <f>Shoe_Sales[[#This Row],[Profit]]/Shoe_Sales[[#This Row],[Revenue]]</f>
        <v>0.47191011235955055</v>
      </c>
    </row>
    <row r="57" spans="1:15" x14ac:dyDescent="0.35">
      <c r="A57" s="2" t="s">
        <v>106</v>
      </c>
      <c r="B57" s="2">
        <v>46048</v>
      </c>
      <c r="C57" t="s">
        <v>42</v>
      </c>
      <c r="D57" t="s">
        <v>10</v>
      </c>
      <c r="E57" t="s">
        <v>7</v>
      </c>
      <c r="F57" t="s">
        <v>8</v>
      </c>
      <c r="G57" t="s">
        <v>9</v>
      </c>
      <c r="H57">
        <v>4</v>
      </c>
      <c r="I57" t="s">
        <v>45</v>
      </c>
      <c r="J57">
        <f>VLOOKUP(Shoe_Sales[[#This Row],[Product]],products!$A$1:$C$9,3,0)</f>
        <v>47</v>
      </c>
      <c r="K57">
        <f>VLOOKUP(Shoe_Sales[[#This Row],[Product]],products!$A$1:$C$9,2,FALSE)</f>
        <v>89</v>
      </c>
      <c r="L57">
        <f>Shoe_Sales[[#This Row],[Cost Price]]*Shoe_Sales[[#This Row],[Quantity]]</f>
        <v>188</v>
      </c>
      <c r="M57">
        <f>Shoe_Sales[[#This Row],[Selling Price]]*Shoe_Sales[[#This Row],[Quantity]]</f>
        <v>356</v>
      </c>
      <c r="N57">
        <f>Shoe_Sales[[#This Row],[Revenue]]-Shoe_Sales[[#This Row],[Cost]]</f>
        <v>168</v>
      </c>
      <c r="O57" s="3">
        <f>Shoe_Sales[[#This Row],[Profit]]/Shoe_Sales[[#This Row],[Revenue]]</f>
        <v>0.47191011235955055</v>
      </c>
    </row>
    <row r="58" spans="1:15" x14ac:dyDescent="0.35">
      <c r="A58" s="2" t="s">
        <v>107</v>
      </c>
      <c r="B58" s="2">
        <v>46049</v>
      </c>
      <c r="C58" t="s">
        <v>13</v>
      </c>
      <c r="D58" t="s">
        <v>10</v>
      </c>
      <c r="E58" t="s">
        <v>14</v>
      </c>
      <c r="F58" t="s">
        <v>8</v>
      </c>
      <c r="G58" t="s">
        <v>26</v>
      </c>
      <c r="H58">
        <v>3</v>
      </c>
      <c r="I58" t="s">
        <v>46</v>
      </c>
      <c r="J58">
        <f>VLOOKUP(Shoe_Sales[[#This Row],[Product]],products!$A$1:$C$9,3,0)</f>
        <v>67</v>
      </c>
      <c r="K58">
        <f>VLOOKUP(Shoe_Sales[[#This Row],[Product]],products!$A$1:$C$9,2,FALSE)</f>
        <v>119</v>
      </c>
      <c r="L58">
        <f>Shoe_Sales[[#This Row],[Cost Price]]*Shoe_Sales[[#This Row],[Quantity]]</f>
        <v>201</v>
      </c>
      <c r="M58">
        <f>Shoe_Sales[[#This Row],[Selling Price]]*Shoe_Sales[[#This Row],[Quantity]]</f>
        <v>357</v>
      </c>
      <c r="N58">
        <f>Shoe_Sales[[#This Row],[Revenue]]-Shoe_Sales[[#This Row],[Cost]]</f>
        <v>156</v>
      </c>
      <c r="O58" s="3">
        <f>Shoe_Sales[[#This Row],[Profit]]/Shoe_Sales[[#This Row],[Revenue]]</f>
        <v>0.43697478991596639</v>
      </c>
    </row>
    <row r="59" spans="1:15" x14ac:dyDescent="0.35">
      <c r="A59" s="2" t="s">
        <v>108</v>
      </c>
      <c r="B59" s="2">
        <v>46049</v>
      </c>
      <c r="C59" t="s">
        <v>33</v>
      </c>
      <c r="D59" t="s">
        <v>19</v>
      </c>
      <c r="E59" t="s">
        <v>14</v>
      </c>
      <c r="F59" t="s">
        <v>40</v>
      </c>
      <c r="G59" t="s">
        <v>30</v>
      </c>
      <c r="H59">
        <v>7</v>
      </c>
      <c r="I59" t="s">
        <v>45</v>
      </c>
      <c r="J59">
        <f>VLOOKUP(Shoe_Sales[[#This Row],[Product]],products!$A$1:$C$9,3,0)</f>
        <v>28</v>
      </c>
      <c r="K59">
        <f>VLOOKUP(Shoe_Sales[[#This Row],[Product]],products!$A$1:$C$9,2,FALSE)</f>
        <v>54</v>
      </c>
      <c r="L59">
        <f>Shoe_Sales[[#This Row],[Cost Price]]*Shoe_Sales[[#This Row],[Quantity]]</f>
        <v>196</v>
      </c>
      <c r="M59">
        <f>Shoe_Sales[[#This Row],[Selling Price]]*Shoe_Sales[[#This Row],[Quantity]]</f>
        <v>378</v>
      </c>
      <c r="N59">
        <f>Shoe_Sales[[#This Row],[Revenue]]-Shoe_Sales[[#This Row],[Cost]]</f>
        <v>182</v>
      </c>
      <c r="O59" s="3">
        <f>Shoe_Sales[[#This Row],[Profit]]/Shoe_Sales[[#This Row],[Revenue]]</f>
        <v>0.48148148148148145</v>
      </c>
    </row>
    <row r="60" spans="1:15" x14ac:dyDescent="0.35">
      <c r="A60" s="2" t="s">
        <v>109</v>
      </c>
      <c r="B60" s="2">
        <v>46049</v>
      </c>
      <c r="C60" t="s">
        <v>42</v>
      </c>
      <c r="D60" t="s">
        <v>10</v>
      </c>
      <c r="E60" t="s">
        <v>16</v>
      </c>
      <c r="F60" t="s">
        <v>17</v>
      </c>
      <c r="G60" t="s">
        <v>18</v>
      </c>
      <c r="H60">
        <v>10</v>
      </c>
      <c r="I60" t="s">
        <v>47</v>
      </c>
      <c r="J60">
        <f>VLOOKUP(Shoe_Sales[[#This Row],[Product]],products!$A$1:$C$9,3,0)</f>
        <v>47</v>
      </c>
      <c r="K60">
        <f>VLOOKUP(Shoe_Sales[[#This Row],[Product]],products!$A$1:$C$9,2,FALSE)</f>
        <v>89</v>
      </c>
      <c r="L60">
        <f>Shoe_Sales[[#This Row],[Cost Price]]*Shoe_Sales[[#This Row],[Quantity]]</f>
        <v>470</v>
      </c>
      <c r="M60">
        <f>Shoe_Sales[[#This Row],[Selling Price]]*Shoe_Sales[[#This Row],[Quantity]]</f>
        <v>890</v>
      </c>
      <c r="N60">
        <f>Shoe_Sales[[#This Row],[Revenue]]-Shoe_Sales[[#This Row],[Cost]]</f>
        <v>420</v>
      </c>
      <c r="O60" s="3">
        <f>Shoe_Sales[[#This Row],[Profit]]/Shoe_Sales[[#This Row],[Revenue]]</f>
        <v>0.47191011235955055</v>
      </c>
    </row>
    <row r="61" spans="1:15" x14ac:dyDescent="0.35">
      <c r="A61" s="2" t="s">
        <v>110</v>
      </c>
      <c r="B61" s="2">
        <v>46050</v>
      </c>
      <c r="C61" t="s">
        <v>39</v>
      </c>
      <c r="D61" t="s">
        <v>25</v>
      </c>
      <c r="E61" t="s">
        <v>20</v>
      </c>
      <c r="F61" t="s">
        <v>29</v>
      </c>
      <c r="G61" t="s">
        <v>30</v>
      </c>
      <c r="H61">
        <v>1</v>
      </c>
      <c r="I61" t="s">
        <v>46</v>
      </c>
      <c r="J61">
        <f>VLOOKUP(Shoe_Sales[[#This Row],[Product]],products!$A$1:$C$9,3,0)</f>
        <v>72</v>
      </c>
      <c r="K61">
        <f>VLOOKUP(Shoe_Sales[[#This Row],[Product]],products!$A$1:$C$9,2,FALSE)</f>
        <v>128</v>
      </c>
      <c r="L61">
        <f>Shoe_Sales[[#This Row],[Cost Price]]*Shoe_Sales[[#This Row],[Quantity]]</f>
        <v>72</v>
      </c>
      <c r="M61">
        <f>Shoe_Sales[[#This Row],[Selling Price]]*Shoe_Sales[[#This Row],[Quantity]]</f>
        <v>128</v>
      </c>
      <c r="N61">
        <f>Shoe_Sales[[#This Row],[Revenue]]-Shoe_Sales[[#This Row],[Cost]]</f>
        <v>56</v>
      </c>
      <c r="O61" s="3">
        <f>Shoe_Sales[[#This Row],[Profit]]/Shoe_Sales[[#This Row],[Revenue]]</f>
        <v>0.4375</v>
      </c>
    </row>
    <row r="62" spans="1:15" x14ac:dyDescent="0.35">
      <c r="A62" s="2" t="s">
        <v>111</v>
      </c>
      <c r="B62" s="2">
        <v>46050</v>
      </c>
      <c r="C62" t="s">
        <v>39</v>
      </c>
      <c r="D62" t="s">
        <v>25</v>
      </c>
      <c r="E62" t="s">
        <v>14</v>
      </c>
      <c r="F62" t="s">
        <v>29</v>
      </c>
      <c r="G62" t="s">
        <v>37</v>
      </c>
      <c r="H62">
        <v>3</v>
      </c>
      <c r="I62" t="s">
        <v>48</v>
      </c>
      <c r="J62">
        <f>VLOOKUP(Shoe_Sales[[#This Row],[Product]],products!$A$1:$C$9,3,0)</f>
        <v>72</v>
      </c>
      <c r="K62">
        <f>VLOOKUP(Shoe_Sales[[#This Row],[Product]],products!$A$1:$C$9,2,FALSE)</f>
        <v>128</v>
      </c>
      <c r="L62">
        <f>Shoe_Sales[[#This Row],[Cost Price]]*Shoe_Sales[[#This Row],[Quantity]]</f>
        <v>216</v>
      </c>
      <c r="M62">
        <f>Shoe_Sales[[#This Row],[Selling Price]]*Shoe_Sales[[#This Row],[Quantity]]</f>
        <v>384</v>
      </c>
      <c r="N62">
        <f>Shoe_Sales[[#This Row],[Revenue]]-Shoe_Sales[[#This Row],[Cost]]</f>
        <v>168</v>
      </c>
      <c r="O62" s="3">
        <f>Shoe_Sales[[#This Row],[Profit]]/Shoe_Sales[[#This Row],[Revenue]]</f>
        <v>0.4375</v>
      </c>
    </row>
    <row r="63" spans="1:15" x14ac:dyDescent="0.35">
      <c r="A63" s="2" t="s">
        <v>112</v>
      </c>
      <c r="B63" s="2">
        <v>46050</v>
      </c>
      <c r="C63" t="s">
        <v>27</v>
      </c>
      <c r="D63" t="s">
        <v>25</v>
      </c>
      <c r="E63" t="s">
        <v>14</v>
      </c>
      <c r="F63" t="s">
        <v>8</v>
      </c>
      <c r="G63" t="s">
        <v>36</v>
      </c>
      <c r="H63">
        <v>5</v>
      </c>
      <c r="I63" t="s">
        <v>45</v>
      </c>
      <c r="J63">
        <f>VLOOKUP(Shoe_Sales[[#This Row],[Product]],products!$A$1:$C$9,3,0)</f>
        <v>14</v>
      </c>
      <c r="K63">
        <f>VLOOKUP(Shoe_Sales[[#This Row],[Product]],products!$A$1:$C$9,2,FALSE)</f>
        <v>32</v>
      </c>
      <c r="L63">
        <f>Shoe_Sales[[#This Row],[Cost Price]]*Shoe_Sales[[#This Row],[Quantity]]</f>
        <v>70</v>
      </c>
      <c r="M63">
        <f>Shoe_Sales[[#This Row],[Selling Price]]*Shoe_Sales[[#This Row],[Quantity]]</f>
        <v>160</v>
      </c>
      <c r="N63">
        <f>Shoe_Sales[[#This Row],[Revenue]]-Shoe_Sales[[#This Row],[Cost]]</f>
        <v>90</v>
      </c>
      <c r="O63" s="3">
        <f>Shoe_Sales[[#This Row],[Profit]]/Shoe_Sales[[#This Row],[Revenue]]</f>
        <v>0.5625</v>
      </c>
    </row>
    <row r="64" spans="1:15" x14ac:dyDescent="0.35">
      <c r="A64" s="2" t="s">
        <v>113</v>
      </c>
      <c r="B64" s="2">
        <v>46050</v>
      </c>
      <c r="C64" t="s">
        <v>39</v>
      </c>
      <c r="D64" t="s">
        <v>19</v>
      </c>
      <c r="E64" t="s">
        <v>11</v>
      </c>
      <c r="F64" t="s">
        <v>40</v>
      </c>
      <c r="G64" t="s">
        <v>32</v>
      </c>
      <c r="H64">
        <v>2</v>
      </c>
      <c r="I64" t="s">
        <v>48</v>
      </c>
      <c r="J64">
        <f>VLOOKUP(Shoe_Sales[[#This Row],[Product]],products!$A$1:$C$9,3,0)</f>
        <v>72</v>
      </c>
      <c r="K64">
        <f>VLOOKUP(Shoe_Sales[[#This Row],[Product]],products!$A$1:$C$9,2,FALSE)</f>
        <v>128</v>
      </c>
      <c r="L64">
        <f>Shoe_Sales[[#This Row],[Cost Price]]*Shoe_Sales[[#This Row],[Quantity]]</f>
        <v>144</v>
      </c>
      <c r="M64">
        <f>Shoe_Sales[[#This Row],[Selling Price]]*Shoe_Sales[[#This Row],[Quantity]]</f>
        <v>256</v>
      </c>
      <c r="N64">
        <f>Shoe_Sales[[#This Row],[Revenue]]-Shoe_Sales[[#This Row],[Cost]]</f>
        <v>112</v>
      </c>
      <c r="O64" s="3">
        <f>Shoe_Sales[[#This Row],[Profit]]/Shoe_Sales[[#This Row],[Revenue]]</f>
        <v>0.4375</v>
      </c>
    </row>
    <row r="65" spans="1:15" x14ac:dyDescent="0.35">
      <c r="A65" s="2" t="s">
        <v>114</v>
      </c>
      <c r="B65" s="2">
        <v>46051</v>
      </c>
      <c r="C65" t="s">
        <v>22</v>
      </c>
      <c r="D65" t="s">
        <v>19</v>
      </c>
      <c r="E65" t="s">
        <v>7</v>
      </c>
      <c r="F65" t="s">
        <v>8</v>
      </c>
      <c r="G65" t="s">
        <v>24</v>
      </c>
      <c r="H65">
        <v>5</v>
      </c>
      <c r="I65" t="s">
        <v>47</v>
      </c>
      <c r="J65">
        <f>VLOOKUP(Shoe_Sales[[#This Row],[Product]],products!$A$1:$C$9,3,0)</f>
        <v>58</v>
      </c>
      <c r="K65">
        <f>VLOOKUP(Shoe_Sales[[#This Row],[Product]],products!$A$1:$C$9,2,FALSE)</f>
        <v>105</v>
      </c>
      <c r="L65">
        <f>Shoe_Sales[[#This Row],[Cost Price]]*Shoe_Sales[[#This Row],[Quantity]]</f>
        <v>290</v>
      </c>
      <c r="M65">
        <f>Shoe_Sales[[#This Row],[Selling Price]]*Shoe_Sales[[#This Row],[Quantity]]</f>
        <v>525</v>
      </c>
      <c r="N65">
        <f>Shoe_Sales[[#This Row],[Revenue]]-Shoe_Sales[[#This Row],[Cost]]</f>
        <v>235</v>
      </c>
      <c r="O65" s="3">
        <f>Shoe_Sales[[#This Row],[Profit]]/Shoe_Sales[[#This Row],[Revenue]]</f>
        <v>0.44761904761904764</v>
      </c>
    </row>
    <row r="66" spans="1:15" x14ac:dyDescent="0.35">
      <c r="A66" s="2" t="s">
        <v>115</v>
      </c>
      <c r="B66" s="2">
        <v>46052</v>
      </c>
      <c r="C66" t="s">
        <v>42</v>
      </c>
      <c r="D66" t="s">
        <v>25</v>
      </c>
      <c r="E66" t="s">
        <v>20</v>
      </c>
      <c r="F66" t="s">
        <v>40</v>
      </c>
      <c r="G66" t="s">
        <v>23</v>
      </c>
      <c r="H66">
        <v>7</v>
      </c>
      <c r="I66" t="s">
        <v>48</v>
      </c>
      <c r="J66">
        <f>VLOOKUP(Shoe_Sales[[#This Row],[Product]],products!$A$1:$C$9,3,0)</f>
        <v>47</v>
      </c>
      <c r="K66">
        <f>VLOOKUP(Shoe_Sales[[#This Row],[Product]],products!$A$1:$C$9,2,FALSE)</f>
        <v>89</v>
      </c>
      <c r="L66">
        <f>Shoe_Sales[[#This Row],[Cost Price]]*Shoe_Sales[[#This Row],[Quantity]]</f>
        <v>329</v>
      </c>
      <c r="M66">
        <f>Shoe_Sales[[#This Row],[Selling Price]]*Shoe_Sales[[#This Row],[Quantity]]</f>
        <v>623</v>
      </c>
      <c r="N66">
        <f>Shoe_Sales[[#This Row],[Revenue]]-Shoe_Sales[[#This Row],[Cost]]</f>
        <v>294</v>
      </c>
      <c r="O66" s="3">
        <f>Shoe_Sales[[#This Row],[Profit]]/Shoe_Sales[[#This Row],[Revenue]]</f>
        <v>0.47191011235955055</v>
      </c>
    </row>
    <row r="67" spans="1:15" x14ac:dyDescent="0.35">
      <c r="A67" s="2" t="s">
        <v>116</v>
      </c>
      <c r="B67" s="2">
        <v>46052</v>
      </c>
      <c r="C67" t="s">
        <v>27</v>
      </c>
      <c r="D67" t="s">
        <v>10</v>
      </c>
      <c r="E67" t="s">
        <v>16</v>
      </c>
      <c r="F67" t="s">
        <v>29</v>
      </c>
      <c r="G67" t="s">
        <v>18</v>
      </c>
      <c r="H67">
        <v>5</v>
      </c>
      <c r="I67" t="s">
        <v>47</v>
      </c>
      <c r="J67">
        <f>VLOOKUP(Shoe_Sales[[#This Row],[Product]],products!$A$1:$C$9,3,0)</f>
        <v>14</v>
      </c>
      <c r="K67">
        <f>VLOOKUP(Shoe_Sales[[#This Row],[Product]],products!$A$1:$C$9,2,FALSE)</f>
        <v>32</v>
      </c>
      <c r="L67">
        <f>Shoe_Sales[[#This Row],[Cost Price]]*Shoe_Sales[[#This Row],[Quantity]]</f>
        <v>70</v>
      </c>
      <c r="M67">
        <f>Shoe_Sales[[#This Row],[Selling Price]]*Shoe_Sales[[#This Row],[Quantity]]</f>
        <v>160</v>
      </c>
      <c r="N67">
        <f>Shoe_Sales[[#This Row],[Revenue]]-Shoe_Sales[[#This Row],[Cost]]</f>
        <v>90</v>
      </c>
      <c r="O67" s="3">
        <f>Shoe_Sales[[#This Row],[Profit]]/Shoe_Sales[[#This Row],[Revenue]]</f>
        <v>0.5625</v>
      </c>
    </row>
    <row r="68" spans="1:15" x14ac:dyDescent="0.35">
      <c r="A68" s="2" t="s">
        <v>117</v>
      </c>
      <c r="B68" s="2">
        <v>46053</v>
      </c>
      <c r="C68" t="s">
        <v>27</v>
      </c>
      <c r="D68" t="s">
        <v>25</v>
      </c>
      <c r="E68" t="s">
        <v>20</v>
      </c>
      <c r="F68" t="s">
        <v>17</v>
      </c>
      <c r="G68" t="s">
        <v>28</v>
      </c>
      <c r="H68">
        <v>15</v>
      </c>
      <c r="I68" t="s">
        <v>45</v>
      </c>
      <c r="J68">
        <f>VLOOKUP(Shoe_Sales[[#This Row],[Product]],products!$A$1:$C$9,3,0)</f>
        <v>14</v>
      </c>
      <c r="K68">
        <f>VLOOKUP(Shoe_Sales[[#This Row],[Product]],products!$A$1:$C$9,2,FALSE)</f>
        <v>32</v>
      </c>
      <c r="L68">
        <f>Shoe_Sales[[#This Row],[Cost Price]]*Shoe_Sales[[#This Row],[Quantity]]</f>
        <v>210</v>
      </c>
      <c r="M68">
        <f>Shoe_Sales[[#This Row],[Selling Price]]*Shoe_Sales[[#This Row],[Quantity]]</f>
        <v>480</v>
      </c>
      <c r="N68">
        <f>Shoe_Sales[[#This Row],[Revenue]]-Shoe_Sales[[#This Row],[Cost]]</f>
        <v>270</v>
      </c>
      <c r="O68" s="3">
        <f>Shoe_Sales[[#This Row],[Profit]]/Shoe_Sales[[#This Row],[Revenue]]</f>
        <v>0.5625</v>
      </c>
    </row>
    <row r="69" spans="1:15" x14ac:dyDescent="0.35">
      <c r="A69" s="2" t="s">
        <v>118</v>
      </c>
      <c r="B69" s="2">
        <v>46053</v>
      </c>
      <c r="C69" t="s">
        <v>33</v>
      </c>
      <c r="D69" t="s">
        <v>25</v>
      </c>
      <c r="E69" t="s">
        <v>11</v>
      </c>
      <c r="F69" t="s">
        <v>8</v>
      </c>
      <c r="G69" t="s">
        <v>9</v>
      </c>
      <c r="H69">
        <v>15</v>
      </c>
      <c r="I69" t="s">
        <v>48</v>
      </c>
      <c r="J69">
        <f>VLOOKUP(Shoe_Sales[[#This Row],[Product]],products!$A$1:$C$9,3,0)</f>
        <v>28</v>
      </c>
      <c r="K69">
        <f>VLOOKUP(Shoe_Sales[[#This Row],[Product]],products!$A$1:$C$9,2,FALSE)</f>
        <v>54</v>
      </c>
      <c r="L69">
        <f>Shoe_Sales[[#This Row],[Cost Price]]*Shoe_Sales[[#This Row],[Quantity]]</f>
        <v>420</v>
      </c>
      <c r="M69">
        <f>Shoe_Sales[[#This Row],[Selling Price]]*Shoe_Sales[[#This Row],[Quantity]]</f>
        <v>810</v>
      </c>
      <c r="N69">
        <f>Shoe_Sales[[#This Row],[Revenue]]-Shoe_Sales[[#This Row],[Cost]]</f>
        <v>390</v>
      </c>
      <c r="O69" s="3">
        <f>Shoe_Sales[[#This Row],[Profit]]/Shoe_Sales[[#This Row],[Revenue]]</f>
        <v>0.48148148148148145</v>
      </c>
    </row>
    <row r="70" spans="1:15" x14ac:dyDescent="0.35">
      <c r="A70" s="2" t="s">
        <v>119</v>
      </c>
      <c r="B70" s="2">
        <v>46054</v>
      </c>
      <c r="C70" t="s">
        <v>22</v>
      </c>
      <c r="D70" t="s">
        <v>25</v>
      </c>
      <c r="E70" t="s">
        <v>7</v>
      </c>
      <c r="F70" t="s">
        <v>8</v>
      </c>
      <c r="G70" t="s">
        <v>21</v>
      </c>
      <c r="H70">
        <v>12</v>
      </c>
      <c r="I70" t="s">
        <v>46</v>
      </c>
      <c r="J70">
        <f>VLOOKUP(Shoe_Sales[[#This Row],[Product]],products!$A$1:$C$9,3,0)</f>
        <v>58</v>
      </c>
      <c r="K70">
        <f>VLOOKUP(Shoe_Sales[[#This Row],[Product]],products!$A$1:$C$9,2,FALSE)</f>
        <v>105</v>
      </c>
      <c r="L70">
        <f>Shoe_Sales[[#This Row],[Cost Price]]*Shoe_Sales[[#This Row],[Quantity]]</f>
        <v>696</v>
      </c>
      <c r="M70">
        <f>Shoe_Sales[[#This Row],[Selling Price]]*Shoe_Sales[[#This Row],[Quantity]]</f>
        <v>1260</v>
      </c>
      <c r="N70">
        <f>Shoe_Sales[[#This Row],[Revenue]]-Shoe_Sales[[#This Row],[Cost]]</f>
        <v>564</v>
      </c>
      <c r="O70" s="3">
        <f>Shoe_Sales[[#This Row],[Profit]]/Shoe_Sales[[#This Row],[Revenue]]</f>
        <v>0.44761904761904764</v>
      </c>
    </row>
    <row r="71" spans="1:15" x14ac:dyDescent="0.35">
      <c r="A71" s="2" t="s">
        <v>120</v>
      </c>
      <c r="B71" s="2">
        <v>46054</v>
      </c>
      <c r="C71" t="s">
        <v>42</v>
      </c>
      <c r="D71" t="s">
        <v>25</v>
      </c>
      <c r="E71" t="s">
        <v>16</v>
      </c>
      <c r="F71" t="s">
        <v>8</v>
      </c>
      <c r="G71" t="s">
        <v>26</v>
      </c>
      <c r="H71">
        <v>13</v>
      </c>
      <c r="I71" t="s">
        <v>46</v>
      </c>
      <c r="J71">
        <f>VLOOKUP(Shoe_Sales[[#This Row],[Product]],products!$A$1:$C$9,3,0)</f>
        <v>47</v>
      </c>
      <c r="K71">
        <f>VLOOKUP(Shoe_Sales[[#This Row],[Product]],products!$A$1:$C$9,2,FALSE)</f>
        <v>89</v>
      </c>
      <c r="L71">
        <f>Shoe_Sales[[#This Row],[Cost Price]]*Shoe_Sales[[#This Row],[Quantity]]</f>
        <v>611</v>
      </c>
      <c r="M71">
        <f>Shoe_Sales[[#This Row],[Selling Price]]*Shoe_Sales[[#This Row],[Quantity]]</f>
        <v>1157</v>
      </c>
      <c r="N71">
        <f>Shoe_Sales[[#This Row],[Revenue]]-Shoe_Sales[[#This Row],[Cost]]</f>
        <v>546</v>
      </c>
      <c r="O71" s="3">
        <f>Shoe_Sales[[#This Row],[Profit]]/Shoe_Sales[[#This Row],[Revenue]]</f>
        <v>0.47191011235955055</v>
      </c>
    </row>
    <row r="72" spans="1:15" x14ac:dyDescent="0.35">
      <c r="A72" s="2" t="s">
        <v>121</v>
      </c>
      <c r="B72" s="2">
        <v>46056</v>
      </c>
      <c r="C72" t="s">
        <v>38</v>
      </c>
      <c r="D72" t="s">
        <v>25</v>
      </c>
      <c r="E72" t="s">
        <v>7</v>
      </c>
      <c r="F72" t="s">
        <v>8</v>
      </c>
      <c r="G72" t="s">
        <v>26</v>
      </c>
      <c r="H72">
        <v>7</v>
      </c>
      <c r="I72" t="s">
        <v>47</v>
      </c>
      <c r="J72">
        <f>VLOOKUP(Shoe_Sales[[#This Row],[Product]],products!$A$1:$C$9,3,0)</f>
        <v>64</v>
      </c>
      <c r="K72">
        <f>VLOOKUP(Shoe_Sales[[#This Row],[Product]],products!$A$1:$C$9,2,FALSE)</f>
        <v>112</v>
      </c>
      <c r="L72">
        <f>Shoe_Sales[[#This Row],[Cost Price]]*Shoe_Sales[[#This Row],[Quantity]]</f>
        <v>448</v>
      </c>
      <c r="M72">
        <f>Shoe_Sales[[#This Row],[Selling Price]]*Shoe_Sales[[#This Row],[Quantity]]</f>
        <v>784</v>
      </c>
      <c r="N72">
        <f>Shoe_Sales[[#This Row],[Revenue]]-Shoe_Sales[[#This Row],[Cost]]</f>
        <v>336</v>
      </c>
      <c r="O72" s="3">
        <f>Shoe_Sales[[#This Row],[Profit]]/Shoe_Sales[[#This Row],[Revenue]]</f>
        <v>0.42857142857142855</v>
      </c>
    </row>
    <row r="73" spans="1:15" x14ac:dyDescent="0.35">
      <c r="A73" s="2" t="s">
        <v>122</v>
      </c>
      <c r="B73" s="2">
        <v>46057</v>
      </c>
      <c r="C73" t="s">
        <v>41</v>
      </c>
      <c r="D73" t="s">
        <v>10</v>
      </c>
      <c r="E73" t="s">
        <v>14</v>
      </c>
      <c r="F73" t="s">
        <v>35</v>
      </c>
      <c r="G73" t="s">
        <v>12</v>
      </c>
      <c r="H73">
        <v>14</v>
      </c>
      <c r="I73" t="s">
        <v>47</v>
      </c>
      <c r="J73">
        <f>VLOOKUP(Shoe_Sales[[#This Row],[Product]],products!$A$1:$C$9,3,0)</f>
        <v>39</v>
      </c>
      <c r="K73">
        <f>VLOOKUP(Shoe_Sales[[#This Row],[Product]],products!$A$1:$C$9,2,FALSE)</f>
        <v>76</v>
      </c>
      <c r="L73">
        <f>Shoe_Sales[[#This Row],[Cost Price]]*Shoe_Sales[[#This Row],[Quantity]]</f>
        <v>546</v>
      </c>
      <c r="M73">
        <f>Shoe_Sales[[#This Row],[Selling Price]]*Shoe_Sales[[#This Row],[Quantity]]</f>
        <v>1064</v>
      </c>
      <c r="N73">
        <f>Shoe_Sales[[#This Row],[Revenue]]-Shoe_Sales[[#This Row],[Cost]]</f>
        <v>518</v>
      </c>
      <c r="O73" s="3">
        <f>Shoe_Sales[[#This Row],[Profit]]/Shoe_Sales[[#This Row],[Revenue]]</f>
        <v>0.48684210526315791</v>
      </c>
    </row>
    <row r="74" spans="1:15" x14ac:dyDescent="0.35">
      <c r="A74" s="2" t="s">
        <v>123</v>
      </c>
      <c r="B74" s="2">
        <v>46057</v>
      </c>
      <c r="C74" t="s">
        <v>27</v>
      </c>
      <c r="D74" t="s">
        <v>25</v>
      </c>
      <c r="E74" t="s">
        <v>11</v>
      </c>
      <c r="F74" t="s">
        <v>35</v>
      </c>
      <c r="G74" t="s">
        <v>30</v>
      </c>
      <c r="H74">
        <v>15</v>
      </c>
      <c r="I74" t="s">
        <v>45</v>
      </c>
      <c r="J74">
        <f>VLOOKUP(Shoe_Sales[[#This Row],[Product]],products!$A$1:$C$9,3,0)</f>
        <v>14</v>
      </c>
      <c r="K74">
        <f>VLOOKUP(Shoe_Sales[[#This Row],[Product]],products!$A$1:$C$9,2,FALSE)</f>
        <v>32</v>
      </c>
      <c r="L74">
        <f>Shoe_Sales[[#This Row],[Cost Price]]*Shoe_Sales[[#This Row],[Quantity]]</f>
        <v>210</v>
      </c>
      <c r="M74">
        <f>Shoe_Sales[[#This Row],[Selling Price]]*Shoe_Sales[[#This Row],[Quantity]]</f>
        <v>480</v>
      </c>
      <c r="N74">
        <f>Shoe_Sales[[#This Row],[Revenue]]-Shoe_Sales[[#This Row],[Cost]]</f>
        <v>270</v>
      </c>
      <c r="O74" s="3">
        <f>Shoe_Sales[[#This Row],[Profit]]/Shoe_Sales[[#This Row],[Revenue]]</f>
        <v>0.5625</v>
      </c>
    </row>
    <row r="75" spans="1:15" x14ac:dyDescent="0.35">
      <c r="A75" s="2" t="s">
        <v>124</v>
      </c>
      <c r="B75" s="2">
        <v>46058</v>
      </c>
      <c r="C75" t="s">
        <v>33</v>
      </c>
      <c r="D75" t="s">
        <v>25</v>
      </c>
      <c r="E75" t="s">
        <v>16</v>
      </c>
      <c r="F75" t="s">
        <v>17</v>
      </c>
      <c r="G75" t="s">
        <v>15</v>
      </c>
      <c r="H75">
        <v>8</v>
      </c>
      <c r="I75" t="s">
        <v>46</v>
      </c>
      <c r="J75">
        <f>VLOOKUP(Shoe_Sales[[#This Row],[Product]],products!$A$1:$C$9,3,0)</f>
        <v>28</v>
      </c>
      <c r="K75">
        <f>VLOOKUP(Shoe_Sales[[#This Row],[Product]],products!$A$1:$C$9,2,FALSE)</f>
        <v>54</v>
      </c>
      <c r="L75">
        <f>Shoe_Sales[[#This Row],[Cost Price]]*Shoe_Sales[[#This Row],[Quantity]]</f>
        <v>224</v>
      </c>
      <c r="M75">
        <f>Shoe_Sales[[#This Row],[Selling Price]]*Shoe_Sales[[#This Row],[Quantity]]</f>
        <v>432</v>
      </c>
      <c r="N75">
        <f>Shoe_Sales[[#This Row],[Revenue]]-Shoe_Sales[[#This Row],[Cost]]</f>
        <v>208</v>
      </c>
      <c r="O75" s="3">
        <f>Shoe_Sales[[#This Row],[Profit]]/Shoe_Sales[[#This Row],[Revenue]]</f>
        <v>0.48148148148148145</v>
      </c>
    </row>
    <row r="76" spans="1:15" x14ac:dyDescent="0.35">
      <c r="A76" s="2" t="s">
        <v>125</v>
      </c>
      <c r="B76" s="2">
        <v>46058</v>
      </c>
      <c r="C76" t="s">
        <v>42</v>
      </c>
      <c r="D76" t="s">
        <v>19</v>
      </c>
      <c r="E76" t="s">
        <v>11</v>
      </c>
      <c r="F76" t="s">
        <v>8</v>
      </c>
      <c r="G76" t="s">
        <v>24</v>
      </c>
      <c r="H76">
        <v>13</v>
      </c>
      <c r="I76" t="s">
        <v>47</v>
      </c>
      <c r="J76">
        <f>VLOOKUP(Shoe_Sales[[#This Row],[Product]],products!$A$1:$C$9,3,0)</f>
        <v>47</v>
      </c>
      <c r="K76">
        <f>VLOOKUP(Shoe_Sales[[#This Row],[Product]],products!$A$1:$C$9,2,FALSE)</f>
        <v>89</v>
      </c>
      <c r="L76">
        <f>Shoe_Sales[[#This Row],[Cost Price]]*Shoe_Sales[[#This Row],[Quantity]]</f>
        <v>611</v>
      </c>
      <c r="M76">
        <f>Shoe_Sales[[#This Row],[Selling Price]]*Shoe_Sales[[#This Row],[Quantity]]</f>
        <v>1157</v>
      </c>
      <c r="N76">
        <f>Shoe_Sales[[#This Row],[Revenue]]-Shoe_Sales[[#This Row],[Cost]]</f>
        <v>546</v>
      </c>
      <c r="O76" s="3">
        <f>Shoe_Sales[[#This Row],[Profit]]/Shoe_Sales[[#This Row],[Revenue]]</f>
        <v>0.47191011235955055</v>
      </c>
    </row>
    <row r="77" spans="1:15" x14ac:dyDescent="0.35">
      <c r="A77" s="2" t="s">
        <v>126</v>
      </c>
      <c r="B77" s="2">
        <v>46059</v>
      </c>
      <c r="C77" t="s">
        <v>39</v>
      </c>
      <c r="D77" t="s">
        <v>25</v>
      </c>
      <c r="E77" t="s">
        <v>7</v>
      </c>
      <c r="F77" t="s">
        <v>8</v>
      </c>
      <c r="G77" t="s">
        <v>34</v>
      </c>
      <c r="H77">
        <v>3</v>
      </c>
      <c r="I77" t="s">
        <v>45</v>
      </c>
      <c r="J77">
        <f>VLOOKUP(Shoe_Sales[[#This Row],[Product]],products!$A$1:$C$9,3,0)</f>
        <v>72</v>
      </c>
      <c r="K77">
        <f>VLOOKUP(Shoe_Sales[[#This Row],[Product]],products!$A$1:$C$9,2,FALSE)</f>
        <v>128</v>
      </c>
      <c r="L77">
        <f>Shoe_Sales[[#This Row],[Cost Price]]*Shoe_Sales[[#This Row],[Quantity]]</f>
        <v>216</v>
      </c>
      <c r="M77">
        <f>Shoe_Sales[[#This Row],[Selling Price]]*Shoe_Sales[[#This Row],[Quantity]]</f>
        <v>384</v>
      </c>
      <c r="N77">
        <f>Shoe_Sales[[#This Row],[Revenue]]-Shoe_Sales[[#This Row],[Cost]]</f>
        <v>168</v>
      </c>
      <c r="O77" s="3">
        <f>Shoe_Sales[[#This Row],[Profit]]/Shoe_Sales[[#This Row],[Revenue]]</f>
        <v>0.4375</v>
      </c>
    </row>
    <row r="78" spans="1:15" x14ac:dyDescent="0.35">
      <c r="A78" s="2" t="s">
        <v>127</v>
      </c>
      <c r="B78" s="2">
        <v>46060</v>
      </c>
      <c r="C78" t="s">
        <v>22</v>
      </c>
      <c r="D78" t="s">
        <v>31</v>
      </c>
      <c r="E78" t="s">
        <v>20</v>
      </c>
      <c r="F78" t="s">
        <v>17</v>
      </c>
      <c r="G78" t="s">
        <v>18</v>
      </c>
      <c r="H78">
        <v>14</v>
      </c>
      <c r="I78" t="s">
        <v>46</v>
      </c>
      <c r="J78">
        <f>VLOOKUP(Shoe_Sales[[#This Row],[Product]],products!$A$1:$C$9,3,0)</f>
        <v>58</v>
      </c>
      <c r="K78">
        <f>VLOOKUP(Shoe_Sales[[#This Row],[Product]],products!$A$1:$C$9,2,FALSE)</f>
        <v>105</v>
      </c>
      <c r="L78">
        <f>Shoe_Sales[[#This Row],[Cost Price]]*Shoe_Sales[[#This Row],[Quantity]]</f>
        <v>812</v>
      </c>
      <c r="M78">
        <f>Shoe_Sales[[#This Row],[Selling Price]]*Shoe_Sales[[#This Row],[Quantity]]</f>
        <v>1470</v>
      </c>
      <c r="N78">
        <f>Shoe_Sales[[#This Row],[Revenue]]-Shoe_Sales[[#This Row],[Cost]]</f>
        <v>658</v>
      </c>
      <c r="O78" s="3">
        <f>Shoe_Sales[[#This Row],[Profit]]/Shoe_Sales[[#This Row],[Revenue]]</f>
        <v>0.44761904761904764</v>
      </c>
    </row>
    <row r="79" spans="1:15" x14ac:dyDescent="0.35">
      <c r="A79" s="2" t="s">
        <v>128</v>
      </c>
      <c r="B79" s="2">
        <v>46060</v>
      </c>
      <c r="C79" t="s">
        <v>27</v>
      </c>
      <c r="D79" t="s">
        <v>25</v>
      </c>
      <c r="E79" t="s">
        <v>7</v>
      </c>
      <c r="F79" t="s">
        <v>40</v>
      </c>
      <c r="G79" t="s">
        <v>24</v>
      </c>
      <c r="H79">
        <v>13</v>
      </c>
      <c r="I79" t="s">
        <v>48</v>
      </c>
      <c r="J79">
        <f>VLOOKUP(Shoe_Sales[[#This Row],[Product]],products!$A$1:$C$9,3,0)</f>
        <v>14</v>
      </c>
      <c r="K79">
        <f>VLOOKUP(Shoe_Sales[[#This Row],[Product]],products!$A$1:$C$9,2,FALSE)</f>
        <v>32</v>
      </c>
      <c r="L79">
        <f>Shoe_Sales[[#This Row],[Cost Price]]*Shoe_Sales[[#This Row],[Quantity]]</f>
        <v>182</v>
      </c>
      <c r="M79">
        <f>Shoe_Sales[[#This Row],[Selling Price]]*Shoe_Sales[[#This Row],[Quantity]]</f>
        <v>416</v>
      </c>
      <c r="N79">
        <f>Shoe_Sales[[#This Row],[Revenue]]-Shoe_Sales[[#This Row],[Cost]]</f>
        <v>234</v>
      </c>
      <c r="O79" s="3">
        <f>Shoe_Sales[[#This Row],[Profit]]/Shoe_Sales[[#This Row],[Revenue]]</f>
        <v>0.5625</v>
      </c>
    </row>
    <row r="80" spans="1:15" x14ac:dyDescent="0.35">
      <c r="A80" s="2" t="s">
        <v>129</v>
      </c>
      <c r="B80" s="2">
        <v>46060</v>
      </c>
      <c r="C80" t="s">
        <v>42</v>
      </c>
      <c r="D80" t="s">
        <v>19</v>
      </c>
      <c r="E80" t="s">
        <v>16</v>
      </c>
      <c r="F80" t="s">
        <v>8</v>
      </c>
      <c r="G80" t="s">
        <v>32</v>
      </c>
      <c r="H80">
        <v>15</v>
      </c>
      <c r="I80" t="s">
        <v>47</v>
      </c>
      <c r="J80">
        <f>VLOOKUP(Shoe_Sales[[#This Row],[Product]],products!$A$1:$C$9,3,0)</f>
        <v>47</v>
      </c>
      <c r="K80">
        <f>VLOOKUP(Shoe_Sales[[#This Row],[Product]],products!$A$1:$C$9,2,FALSE)</f>
        <v>89</v>
      </c>
      <c r="L80">
        <f>Shoe_Sales[[#This Row],[Cost Price]]*Shoe_Sales[[#This Row],[Quantity]]</f>
        <v>705</v>
      </c>
      <c r="M80">
        <f>Shoe_Sales[[#This Row],[Selling Price]]*Shoe_Sales[[#This Row],[Quantity]]</f>
        <v>1335</v>
      </c>
      <c r="N80">
        <f>Shoe_Sales[[#This Row],[Revenue]]-Shoe_Sales[[#This Row],[Cost]]</f>
        <v>630</v>
      </c>
      <c r="O80" s="3">
        <f>Shoe_Sales[[#This Row],[Profit]]/Shoe_Sales[[#This Row],[Revenue]]</f>
        <v>0.47191011235955055</v>
      </c>
    </row>
    <row r="81" spans="1:15" x14ac:dyDescent="0.35">
      <c r="A81" s="2" t="s">
        <v>130</v>
      </c>
      <c r="B81" s="2">
        <v>46061</v>
      </c>
      <c r="C81" t="s">
        <v>42</v>
      </c>
      <c r="D81" t="s">
        <v>25</v>
      </c>
      <c r="E81" t="s">
        <v>20</v>
      </c>
      <c r="F81" t="s">
        <v>8</v>
      </c>
      <c r="G81" t="s">
        <v>18</v>
      </c>
      <c r="H81">
        <v>4</v>
      </c>
      <c r="I81" t="s">
        <v>46</v>
      </c>
      <c r="J81">
        <f>VLOOKUP(Shoe_Sales[[#This Row],[Product]],products!$A$1:$C$9,3,0)</f>
        <v>47</v>
      </c>
      <c r="K81">
        <f>VLOOKUP(Shoe_Sales[[#This Row],[Product]],products!$A$1:$C$9,2,FALSE)</f>
        <v>89</v>
      </c>
      <c r="L81">
        <f>Shoe_Sales[[#This Row],[Cost Price]]*Shoe_Sales[[#This Row],[Quantity]]</f>
        <v>188</v>
      </c>
      <c r="M81">
        <f>Shoe_Sales[[#This Row],[Selling Price]]*Shoe_Sales[[#This Row],[Quantity]]</f>
        <v>356</v>
      </c>
      <c r="N81">
        <f>Shoe_Sales[[#This Row],[Revenue]]-Shoe_Sales[[#This Row],[Cost]]</f>
        <v>168</v>
      </c>
      <c r="O81" s="3">
        <f>Shoe_Sales[[#This Row],[Profit]]/Shoe_Sales[[#This Row],[Revenue]]</f>
        <v>0.47191011235955055</v>
      </c>
    </row>
    <row r="82" spans="1:15" x14ac:dyDescent="0.35">
      <c r="A82" s="2" t="s">
        <v>131</v>
      </c>
      <c r="B82" s="2">
        <v>46061</v>
      </c>
      <c r="C82" t="s">
        <v>13</v>
      </c>
      <c r="D82" t="s">
        <v>25</v>
      </c>
      <c r="E82" t="s">
        <v>16</v>
      </c>
      <c r="F82" t="s">
        <v>17</v>
      </c>
      <c r="G82" t="s">
        <v>21</v>
      </c>
      <c r="H82">
        <v>1</v>
      </c>
      <c r="I82" t="s">
        <v>48</v>
      </c>
      <c r="J82">
        <f>VLOOKUP(Shoe_Sales[[#This Row],[Product]],products!$A$1:$C$9,3,0)</f>
        <v>67</v>
      </c>
      <c r="K82">
        <f>VLOOKUP(Shoe_Sales[[#This Row],[Product]],products!$A$1:$C$9,2,FALSE)</f>
        <v>119</v>
      </c>
      <c r="L82">
        <f>Shoe_Sales[[#This Row],[Cost Price]]*Shoe_Sales[[#This Row],[Quantity]]</f>
        <v>67</v>
      </c>
      <c r="M82">
        <f>Shoe_Sales[[#This Row],[Selling Price]]*Shoe_Sales[[#This Row],[Quantity]]</f>
        <v>119</v>
      </c>
      <c r="N82">
        <f>Shoe_Sales[[#This Row],[Revenue]]-Shoe_Sales[[#This Row],[Cost]]</f>
        <v>52</v>
      </c>
      <c r="O82" s="3">
        <f>Shoe_Sales[[#This Row],[Profit]]/Shoe_Sales[[#This Row],[Revenue]]</f>
        <v>0.43697478991596639</v>
      </c>
    </row>
    <row r="83" spans="1:15" x14ac:dyDescent="0.35">
      <c r="A83" s="2" t="s">
        <v>132</v>
      </c>
      <c r="B83" s="2">
        <v>46062</v>
      </c>
      <c r="C83" t="s">
        <v>38</v>
      </c>
      <c r="D83" t="s">
        <v>25</v>
      </c>
      <c r="E83" t="s">
        <v>14</v>
      </c>
      <c r="F83" t="s">
        <v>17</v>
      </c>
      <c r="G83" t="s">
        <v>12</v>
      </c>
      <c r="H83">
        <v>8</v>
      </c>
      <c r="I83" t="s">
        <v>47</v>
      </c>
      <c r="J83">
        <f>VLOOKUP(Shoe_Sales[[#This Row],[Product]],products!$A$1:$C$9,3,0)</f>
        <v>64</v>
      </c>
      <c r="K83">
        <f>VLOOKUP(Shoe_Sales[[#This Row],[Product]],products!$A$1:$C$9,2,FALSE)</f>
        <v>112</v>
      </c>
      <c r="L83">
        <f>Shoe_Sales[[#This Row],[Cost Price]]*Shoe_Sales[[#This Row],[Quantity]]</f>
        <v>512</v>
      </c>
      <c r="M83">
        <f>Shoe_Sales[[#This Row],[Selling Price]]*Shoe_Sales[[#This Row],[Quantity]]</f>
        <v>896</v>
      </c>
      <c r="N83">
        <f>Shoe_Sales[[#This Row],[Revenue]]-Shoe_Sales[[#This Row],[Cost]]</f>
        <v>384</v>
      </c>
      <c r="O83" s="3">
        <f>Shoe_Sales[[#This Row],[Profit]]/Shoe_Sales[[#This Row],[Revenue]]</f>
        <v>0.42857142857142855</v>
      </c>
    </row>
    <row r="84" spans="1:15" x14ac:dyDescent="0.35">
      <c r="A84" s="2" t="s">
        <v>133</v>
      </c>
      <c r="B84" s="2">
        <v>46062</v>
      </c>
      <c r="C84" t="s">
        <v>13</v>
      </c>
      <c r="D84" t="s">
        <v>31</v>
      </c>
      <c r="E84" t="s">
        <v>11</v>
      </c>
      <c r="F84" t="s">
        <v>29</v>
      </c>
      <c r="G84" t="s">
        <v>30</v>
      </c>
      <c r="H84">
        <v>7</v>
      </c>
      <c r="I84" t="s">
        <v>46</v>
      </c>
      <c r="J84">
        <f>VLOOKUP(Shoe_Sales[[#This Row],[Product]],products!$A$1:$C$9,3,0)</f>
        <v>67</v>
      </c>
      <c r="K84">
        <f>VLOOKUP(Shoe_Sales[[#This Row],[Product]],products!$A$1:$C$9,2,FALSE)</f>
        <v>119</v>
      </c>
      <c r="L84">
        <f>Shoe_Sales[[#This Row],[Cost Price]]*Shoe_Sales[[#This Row],[Quantity]]</f>
        <v>469</v>
      </c>
      <c r="M84">
        <f>Shoe_Sales[[#This Row],[Selling Price]]*Shoe_Sales[[#This Row],[Quantity]]</f>
        <v>833</v>
      </c>
      <c r="N84">
        <f>Shoe_Sales[[#This Row],[Revenue]]-Shoe_Sales[[#This Row],[Cost]]</f>
        <v>364</v>
      </c>
      <c r="O84" s="3">
        <f>Shoe_Sales[[#This Row],[Profit]]/Shoe_Sales[[#This Row],[Revenue]]</f>
        <v>0.43697478991596639</v>
      </c>
    </row>
    <row r="85" spans="1:15" x14ac:dyDescent="0.35">
      <c r="A85" s="2" t="s">
        <v>134</v>
      </c>
      <c r="B85" s="2">
        <v>46064</v>
      </c>
      <c r="C85" t="s">
        <v>39</v>
      </c>
      <c r="D85" t="s">
        <v>25</v>
      </c>
      <c r="E85" t="s">
        <v>7</v>
      </c>
      <c r="F85" t="s">
        <v>29</v>
      </c>
      <c r="G85" t="s">
        <v>37</v>
      </c>
      <c r="H85">
        <v>15</v>
      </c>
      <c r="I85" t="s">
        <v>47</v>
      </c>
      <c r="J85">
        <f>VLOOKUP(Shoe_Sales[[#This Row],[Product]],products!$A$1:$C$9,3,0)</f>
        <v>72</v>
      </c>
      <c r="K85">
        <f>VLOOKUP(Shoe_Sales[[#This Row],[Product]],products!$A$1:$C$9,2,FALSE)</f>
        <v>128</v>
      </c>
      <c r="L85">
        <f>Shoe_Sales[[#This Row],[Cost Price]]*Shoe_Sales[[#This Row],[Quantity]]</f>
        <v>1080</v>
      </c>
      <c r="M85">
        <f>Shoe_Sales[[#This Row],[Selling Price]]*Shoe_Sales[[#This Row],[Quantity]]</f>
        <v>1920</v>
      </c>
      <c r="N85">
        <f>Shoe_Sales[[#This Row],[Revenue]]-Shoe_Sales[[#This Row],[Cost]]</f>
        <v>840</v>
      </c>
      <c r="O85" s="3">
        <f>Shoe_Sales[[#This Row],[Profit]]/Shoe_Sales[[#This Row],[Revenue]]</f>
        <v>0.4375</v>
      </c>
    </row>
    <row r="86" spans="1:15" x14ac:dyDescent="0.35">
      <c r="A86" s="2" t="s">
        <v>135</v>
      </c>
      <c r="B86" s="2">
        <v>46065</v>
      </c>
      <c r="C86" t="s">
        <v>22</v>
      </c>
      <c r="D86" t="s">
        <v>25</v>
      </c>
      <c r="E86" t="s">
        <v>11</v>
      </c>
      <c r="F86" t="s">
        <v>17</v>
      </c>
      <c r="G86" t="s">
        <v>23</v>
      </c>
      <c r="H86">
        <v>10</v>
      </c>
      <c r="I86" t="s">
        <v>46</v>
      </c>
      <c r="J86">
        <f>VLOOKUP(Shoe_Sales[[#This Row],[Product]],products!$A$1:$C$9,3,0)</f>
        <v>58</v>
      </c>
      <c r="K86">
        <f>VLOOKUP(Shoe_Sales[[#This Row],[Product]],products!$A$1:$C$9,2,FALSE)</f>
        <v>105</v>
      </c>
      <c r="L86">
        <f>Shoe_Sales[[#This Row],[Cost Price]]*Shoe_Sales[[#This Row],[Quantity]]</f>
        <v>580</v>
      </c>
      <c r="M86">
        <f>Shoe_Sales[[#This Row],[Selling Price]]*Shoe_Sales[[#This Row],[Quantity]]</f>
        <v>1050</v>
      </c>
      <c r="N86">
        <f>Shoe_Sales[[#This Row],[Revenue]]-Shoe_Sales[[#This Row],[Cost]]</f>
        <v>470</v>
      </c>
      <c r="O86" s="3">
        <f>Shoe_Sales[[#This Row],[Profit]]/Shoe_Sales[[#This Row],[Revenue]]</f>
        <v>0.44761904761904764</v>
      </c>
    </row>
    <row r="87" spans="1:15" x14ac:dyDescent="0.35">
      <c r="A87" s="2" t="s">
        <v>136</v>
      </c>
      <c r="B87" s="2">
        <v>46065</v>
      </c>
      <c r="C87" t="s">
        <v>13</v>
      </c>
      <c r="D87" t="s">
        <v>10</v>
      </c>
      <c r="E87" t="s">
        <v>11</v>
      </c>
      <c r="F87" t="s">
        <v>8</v>
      </c>
      <c r="G87" t="s">
        <v>18</v>
      </c>
      <c r="H87">
        <v>1</v>
      </c>
      <c r="I87" t="s">
        <v>47</v>
      </c>
      <c r="J87">
        <f>VLOOKUP(Shoe_Sales[[#This Row],[Product]],products!$A$1:$C$9,3,0)</f>
        <v>67</v>
      </c>
      <c r="K87">
        <f>VLOOKUP(Shoe_Sales[[#This Row],[Product]],products!$A$1:$C$9,2,FALSE)</f>
        <v>119</v>
      </c>
      <c r="L87">
        <f>Shoe_Sales[[#This Row],[Cost Price]]*Shoe_Sales[[#This Row],[Quantity]]</f>
        <v>67</v>
      </c>
      <c r="M87">
        <f>Shoe_Sales[[#This Row],[Selling Price]]*Shoe_Sales[[#This Row],[Quantity]]</f>
        <v>119</v>
      </c>
      <c r="N87">
        <f>Shoe_Sales[[#This Row],[Revenue]]-Shoe_Sales[[#This Row],[Cost]]</f>
        <v>52</v>
      </c>
      <c r="O87" s="3">
        <f>Shoe_Sales[[#This Row],[Profit]]/Shoe_Sales[[#This Row],[Revenue]]</f>
        <v>0.43697478991596639</v>
      </c>
    </row>
    <row r="88" spans="1:15" x14ac:dyDescent="0.35">
      <c r="A88" s="2" t="s">
        <v>137</v>
      </c>
      <c r="B88" s="2">
        <v>46065</v>
      </c>
      <c r="C88" t="s">
        <v>42</v>
      </c>
      <c r="D88" t="s">
        <v>25</v>
      </c>
      <c r="E88" t="s">
        <v>7</v>
      </c>
      <c r="F88" t="s">
        <v>17</v>
      </c>
      <c r="G88" t="s">
        <v>28</v>
      </c>
      <c r="H88">
        <v>15</v>
      </c>
      <c r="I88" t="s">
        <v>48</v>
      </c>
      <c r="J88">
        <f>VLOOKUP(Shoe_Sales[[#This Row],[Product]],products!$A$1:$C$9,3,0)</f>
        <v>47</v>
      </c>
      <c r="K88">
        <f>VLOOKUP(Shoe_Sales[[#This Row],[Product]],products!$A$1:$C$9,2,FALSE)</f>
        <v>89</v>
      </c>
      <c r="L88">
        <f>Shoe_Sales[[#This Row],[Cost Price]]*Shoe_Sales[[#This Row],[Quantity]]</f>
        <v>705</v>
      </c>
      <c r="M88">
        <f>Shoe_Sales[[#This Row],[Selling Price]]*Shoe_Sales[[#This Row],[Quantity]]</f>
        <v>1335</v>
      </c>
      <c r="N88">
        <f>Shoe_Sales[[#This Row],[Revenue]]-Shoe_Sales[[#This Row],[Cost]]</f>
        <v>630</v>
      </c>
      <c r="O88" s="3">
        <f>Shoe_Sales[[#This Row],[Profit]]/Shoe_Sales[[#This Row],[Revenue]]</f>
        <v>0.47191011235955055</v>
      </c>
    </row>
    <row r="89" spans="1:15" x14ac:dyDescent="0.35">
      <c r="A89" s="2" t="s">
        <v>138</v>
      </c>
      <c r="B89" s="2">
        <v>46066</v>
      </c>
      <c r="C89" t="s">
        <v>27</v>
      </c>
      <c r="D89" t="s">
        <v>25</v>
      </c>
      <c r="E89" t="s">
        <v>14</v>
      </c>
      <c r="F89" t="s">
        <v>35</v>
      </c>
      <c r="G89" t="s">
        <v>18</v>
      </c>
      <c r="H89">
        <v>10</v>
      </c>
      <c r="I89" t="s">
        <v>46</v>
      </c>
      <c r="J89">
        <f>VLOOKUP(Shoe_Sales[[#This Row],[Product]],products!$A$1:$C$9,3,0)</f>
        <v>14</v>
      </c>
      <c r="K89">
        <f>VLOOKUP(Shoe_Sales[[#This Row],[Product]],products!$A$1:$C$9,2,FALSE)</f>
        <v>32</v>
      </c>
      <c r="L89">
        <f>Shoe_Sales[[#This Row],[Cost Price]]*Shoe_Sales[[#This Row],[Quantity]]</f>
        <v>140</v>
      </c>
      <c r="M89">
        <f>Shoe_Sales[[#This Row],[Selling Price]]*Shoe_Sales[[#This Row],[Quantity]]</f>
        <v>320</v>
      </c>
      <c r="N89">
        <f>Shoe_Sales[[#This Row],[Revenue]]-Shoe_Sales[[#This Row],[Cost]]</f>
        <v>180</v>
      </c>
      <c r="O89" s="3">
        <f>Shoe_Sales[[#This Row],[Profit]]/Shoe_Sales[[#This Row],[Revenue]]</f>
        <v>0.5625</v>
      </c>
    </row>
    <row r="90" spans="1:15" x14ac:dyDescent="0.35">
      <c r="A90" s="2" t="s">
        <v>139</v>
      </c>
      <c r="B90" s="2">
        <v>46066</v>
      </c>
      <c r="C90" t="s">
        <v>38</v>
      </c>
      <c r="D90" t="s">
        <v>10</v>
      </c>
      <c r="E90" t="s">
        <v>16</v>
      </c>
      <c r="F90" t="s">
        <v>17</v>
      </c>
      <c r="G90" t="s">
        <v>36</v>
      </c>
      <c r="H90">
        <v>13</v>
      </c>
      <c r="I90" t="s">
        <v>47</v>
      </c>
      <c r="J90">
        <f>VLOOKUP(Shoe_Sales[[#This Row],[Product]],products!$A$1:$C$9,3,0)</f>
        <v>64</v>
      </c>
      <c r="K90">
        <f>VLOOKUP(Shoe_Sales[[#This Row],[Product]],products!$A$1:$C$9,2,FALSE)</f>
        <v>112</v>
      </c>
      <c r="L90">
        <f>Shoe_Sales[[#This Row],[Cost Price]]*Shoe_Sales[[#This Row],[Quantity]]</f>
        <v>832</v>
      </c>
      <c r="M90">
        <f>Shoe_Sales[[#This Row],[Selling Price]]*Shoe_Sales[[#This Row],[Quantity]]</f>
        <v>1456</v>
      </c>
      <c r="N90">
        <f>Shoe_Sales[[#This Row],[Revenue]]-Shoe_Sales[[#This Row],[Cost]]</f>
        <v>624</v>
      </c>
      <c r="O90" s="3">
        <f>Shoe_Sales[[#This Row],[Profit]]/Shoe_Sales[[#This Row],[Revenue]]</f>
        <v>0.42857142857142855</v>
      </c>
    </row>
    <row r="91" spans="1:15" x14ac:dyDescent="0.35">
      <c r="A91" s="2" t="s">
        <v>140</v>
      </c>
      <c r="B91" s="2">
        <v>46067</v>
      </c>
      <c r="C91" t="s">
        <v>22</v>
      </c>
      <c r="D91" t="s">
        <v>25</v>
      </c>
      <c r="E91" t="s">
        <v>11</v>
      </c>
      <c r="F91" t="s">
        <v>8</v>
      </c>
      <c r="G91" t="s">
        <v>28</v>
      </c>
      <c r="H91">
        <v>8</v>
      </c>
      <c r="I91" t="s">
        <v>47</v>
      </c>
      <c r="J91">
        <f>VLOOKUP(Shoe_Sales[[#This Row],[Product]],products!$A$1:$C$9,3,0)</f>
        <v>58</v>
      </c>
      <c r="K91">
        <f>VLOOKUP(Shoe_Sales[[#This Row],[Product]],products!$A$1:$C$9,2,FALSE)</f>
        <v>105</v>
      </c>
      <c r="L91">
        <f>Shoe_Sales[[#This Row],[Cost Price]]*Shoe_Sales[[#This Row],[Quantity]]</f>
        <v>464</v>
      </c>
      <c r="M91">
        <f>Shoe_Sales[[#This Row],[Selling Price]]*Shoe_Sales[[#This Row],[Quantity]]</f>
        <v>840</v>
      </c>
      <c r="N91">
        <f>Shoe_Sales[[#This Row],[Revenue]]-Shoe_Sales[[#This Row],[Cost]]</f>
        <v>376</v>
      </c>
      <c r="O91" s="3">
        <f>Shoe_Sales[[#This Row],[Profit]]/Shoe_Sales[[#This Row],[Revenue]]</f>
        <v>0.44761904761904764</v>
      </c>
    </row>
    <row r="92" spans="1:15" x14ac:dyDescent="0.35">
      <c r="A92" s="2" t="s">
        <v>141</v>
      </c>
      <c r="B92" s="2">
        <v>46067</v>
      </c>
      <c r="C92" t="s">
        <v>22</v>
      </c>
      <c r="D92" t="s">
        <v>25</v>
      </c>
      <c r="E92" t="s">
        <v>14</v>
      </c>
      <c r="F92" t="s">
        <v>17</v>
      </c>
      <c r="G92" t="s">
        <v>26</v>
      </c>
      <c r="H92">
        <v>3</v>
      </c>
      <c r="I92" t="s">
        <v>45</v>
      </c>
      <c r="J92">
        <f>VLOOKUP(Shoe_Sales[[#This Row],[Product]],products!$A$1:$C$9,3,0)</f>
        <v>58</v>
      </c>
      <c r="K92">
        <f>VLOOKUP(Shoe_Sales[[#This Row],[Product]],products!$A$1:$C$9,2,FALSE)</f>
        <v>105</v>
      </c>
      <c r="L92">
        <f>Shoe_Sales[[#This Row],[Cost Price]]*Shoe_Sales[[#This Row],[Quantity]]</f>
        <v>174</v>
      </c>
      <c r="M92">
        <f>Shoe_Sales[[#This Row],[Selling Price]]*Shoe_Sales[[#This Row],[Quantity]]</f>
        <v>315</v>
      </c>
      <c r="N92">
        <f>Shoe_Sales[[#This Row],[Revenue]]-Shoe_Sales[[#This Row],[Cost]]</f>
        <v>141</v>
      </c>
      <c r="O92" s="3">
        <f>Shoe_Sales[[#This Row],[Profit]]/Shoe_Sales[[#This Row],[Revenue]]</f>
        <v>0.44761904761904764</v>
      </c>
    </row>
    <row r="93" spans="1:15" x14ac:dyDescent="0.35">
      <c r="A93" s="2" t="s">
        <v>142</v>
      </c>
      <c r="B93" s="2">
        <v>46068</v>
      </c>
      <c r="C93" t="s">
        <v>42</v>
      </c>
      <c r="D93" t="s">
        <v>25</v>
      </c>
      <c r="E93" t="s">
        <v>16</v>
      </c>
      <c r="F93" t="s">
        <v>17</v>
      </c>
      <c r="G93" t="s">
        <v>28</v>
      </c>
      <c r="H93">
        <v>7</v>
      </c>
      <c r="I93" t="s">
        <v>47</v>
      </c>
      <c r="J93">
        <f>VLOOKUP(Shoe_Sales[[#This Row],[Product]],products!$A$1:$C$9,3,0)</f>
        <v>47</v>
      </c>
      <c r="K93">
        <f>VLOOKUP(Shoe_Sales[[#This Row],[Product]],products!$A$1:$C$9,2,FALSE)</f>
        <v>89</v>
      </c>
      <c r="L93">
        <f>Shoe_Sales[[#This Row],[Cost Price]]*Shoe_Sales[[#This Row],[Quantity]]</f>
        <v>329</v>
      </c>
      <c r="M93">
        <f>Shoe_Sales[[#This Row],[Selling Price]]*Shoe_Sales[[#This Row],[Quantity]]</f>
        <v>623</v>
      </c>
      <c r="N93">
        <f>Shoe_Sales[[#This Row],[Revenue]]-Shoe_Sales[[#This Row],[Cost]]</f>
        <v>294</v>
      </c>
      <c r="O93" s="3">
        <f>Shoe_Sales[[#This Row],[Profit]]/Shoe_Sales[[#This Row],[Revenue]]</f>
        <v>0.47191011235955055</v>
      </c>
    </row>
    <row r="94" spans="1:15" x14ac:dyDescent="0.35">
      <c r="A94" s="2" t="s">
        <v>143</v>
      </c>
      <c r="B94" s="2">
        <v>46068</v>
      </c>
      <c r="C94" t="s">
        <v>33</v>
      </c>
      <c r="D94" t="s">
        <v>25</v>
      </c>
      <c r="E94" t="s">
        <v>14</v>
      </c>
      <c r="F94" t="s">
        <v>8</v>
      </c>
      <c r="G94" t="s">
        <v>24</v>
      </c>
      <c r="H94">
        <v>9</v>
      </c>
      <c r="I94" t="s">
        <v>45</v>
      </c>
      <c r="J94">
        <f>VLOOKUP(Shoe_Sales[[#This Row],[Product]],products!$A$1:$C$9,3,0)</f>
        <v>28</v>
      </c>
      <c r="K94">
        <f>VLOOKUP(Shoe_Sales[[#This Row],[Product]],products!$A$1:$C$9,2,FALSE)</f>
        <v>54</v>
      </c>
      <c r="L94">
        <f>Shoe_Sales[[#This Row],[Cost Price]]*Shoe_Sales[[#This Row],[Quantity]]</f>
        <v>252</v>
      </c>
      <c r="M94">
        <f>Shoe_Sales[[#This Row],[Selling Price]]*Shoe_Sales[[#This Row],[Quantity]]</f>
        <v>486</v>
      </c>
      <c r="N94">
        <f>Shoe_Sales[[#This Row],[Revenue]]-Shoe_Sales[[#This Row],[Cost]]</f>
        <v>234</v>
      </c>
      <c r="O94" s="3">
        <f>Shoe_Sales[[#This Row],[Profit]]/Shoe_Sales[[#This Row],[Revenue]]</f>
        <v>0.48148148148148145</v>
      </c>
    </row>
    <row r="95" spans="1:15" x14ac:dyDescent="0.35">
      <c r="A95" s="2" t="s">
        <v>144</v>
      </c>
      <c r="B95" s="2">
        <v>46069</v>
      </c>
      <c r="C95" t="s">
        <v>38</v>
      </c>
      <c r="D95" t="s">
        <v>25</v>
      </c>
      <c r="E95" t="s">
        <v>7</v>
      </c>
      <c r="F95" t="s">
        <v>17</v>
      </c>
      <c r="G95" t="s">
        <v>9</v>
      </c>
      <c r="H95">
        <v>1</v>
      </c>
      <c r="I95" t="s">
        <v>48</v>
      </c>
      <c r="J95">
        <f>VLOOKUP(Shoe_Sales[[#This Row],[Product]],products!$A$1:$C$9,3,0)</f>
        <v>64</v>
      </c>
      <c r="K95">
        <f>VLOOKUP(Shoe_Sales[[#This Row],[Product]],products!$A$1:$C$9,2,FALSE)</f>
        <v>112</v>
      </c>
      <c r="L95">
        <f>Shoe_Sales[[#This Row],[Cost Price]]*Shoe_Sales[[#This Row],[Quantity]]</f>
        <v>64</v>
      </c>
      <c r="M95">
        <f>Shoe_Sales[[#This Row],[Selling Price]]*Shoe_Sales[[#This Row],[Quantity]]</f>
        <v>112</v>
      </c>
      <c r="N95">
        <f>Shoe_Sales[[#This Row],[Revenue]]-Shoe_Sales[[#This Row],[Cost]]</f>
        <v>48</v>
      </c>
      <c r="O95" s="3">
        <f>Shoe_Sales[[#This Row],[Profit]]/Shoe_Sales[[#This Row],[Revenue]]</f>
        <v>0.42857142857142855</v>
      </c>
    </row>
    <row r="96" spans="1:15" x14ac:dyDescent="0.35">
      <c r="A96" s="2" t="s">
        <v>145</v>
      </c>
      <c r="B96" s="2">
        <v>46069</v>
      </c>
      <c r="C96" t="s">
        <v>22</v>
      </c>
      <c r="D96" t="s">
        <v>25</v>
      </c>
      <c r="E96" t="s">
        <v>14</v>
      </c>
      <c r="F96" t="s">
        <v>8</v>
      </c>
      <c r="G96" t="s">
        <v>15</v>
      </c>
      <c r="H96">
        <v>12</v>
      </c>
      <c r="I96" t="s">
        <v>46</v>
      </c>
      <c r="J96">
        <f>VLOOKUP(Shoe_Sales[[#This Row],[Product]],products!$A$1:$C$9,3,0)</f>
        <v>58</v>
      </c>
      <c r="K96">
        <f>VLOOKUP(Shoe_Sales[[#This Row],[Product]],products!$A$1:$C$9,2,FALSE)</f>
        <v>105</v>
      </c>
      <c r="L96">
        <f>Shoe_Sales[[#This Row],[Cost Price]]*Shoe_Sales[[#This Row],[Quantity]]</f>
        <v>696</v>
      </c>
      <c r="M96">
        <f>Shoe_Sales[[#This Row],[Selling Price]]*Shoe_Sales[[#This Row],[Quantity]]</f>
        <v>1260</v>
      </c>
      <c r="N96">
        <f>Shoe_Sales[[#This Row],[Revenue]]-Shoe_Sales[[#This Row],[Cost]]</f>
        <v>564</v>
      </c>
      <c r="O96" s="3">
        <f>Shoe_Sales[[#This Row],[Profit]]/Shoe_Sales[[#This Row],[Revenue]]</f>
        <v>0.44761904761904764</v>
      </c>
    </row>
    <row r="97" spans="1:15" x14ac:dyDescent="0.35">
      <c r="A97" s="2" t="s">
        <v>146</v>
      </c>
      <c r="B97" s="2">
        <v>46069</v>
      </c>
      <c r="C97" t="s">
        <v>22</v>
      </c>
      <c r="D97" t="s">
        <v>25</v>
      </c>
      <c r="E97" t="s">
        <v>16</v>
      </c>
      <c r="F97" t="s">
        <v>8</v>
      </c>
      <c r="G97" t="s">
        <v>15</v>
      </c>
      <c r="H97">
        <v>15</v>
      </c>
      <c r="I97" t="s">
        <v>46</v>
      </c>
      <c r="J97">
        <f>VLOOKUP(Shoe_Sales[[#This Row],[Product]],products!$A$1:$C$9,3,0)</f>
        <v>58</v>
      </c>
      <c r="K97">
        <f>VLOOKUP(Shoe_Sales[[#This Row],[Product]],products!$A$1:$C$9,2,FALSE)</f>
        <v>105</v>
      </c>
      <c r="L97">
        <f>Shoe_Sales[[#This Row],[Cost Price]]*Shoe_Sales[[#This Row],[Quantity]]</f>
        <v>870</v>
      </c>
      <c r="M97">
        <f>Shoe_Sales[[#This Row],[Selling Price]]*Shoe_Sales[[#This Row],[Quantity]]</f>
        <v>1575</v>
      </c>
      <c r="N97">
        <f>Shoe_Sales[[#This Row],[Revenue]]-Shoe_Sales[[#This Row],[Cost]]</f>
        <v>705</v>
      </c>
      <c r="O97" s="3">
        <f>Shoe_Sales[[#This Row],[Profit]]/Shoe_Sales[[#This Row],[Revenue]]</f>
        <v>0.44761904761904764</v>
      </c>
    </row>
    <row r="98" spans="1:15" x14ac:dyDescent="0.35">
      <c r="A98" s="2" t="s">
        <v>147</v>
      </c>
      <c r="B98" s="2">
        <v>46070</v>
      </c>
      <c r="C98" t="s">
        <v>33</v>
      </c>
      <c r="D98" t="s">
        <v>25</v>
      </c>
      <c r="E98" t="s">
        <v>11</v>
      </c>
      <c r="F98" t="s">
        <v>8</v>
      </c>
      <c r="G98" t="s">
        <v>15</v>
      </c>
      <c r="H98">
        <v>9</v>
      </c>
      <c r="I98" t="s">
        <v>47</v>
      </c>
      <c r="J98">
        <f>VLOOKUP(Shoe_Sales[[#This Row],[Product]],products!$A$1:$C$9,3,0)</f>
        <v>28</v>
      </c>
      <c r="K98">
        <f>VLOOKUP(Shoe_Sales[[#This Row],[Product]],products!$A$1:$C$9,2,FALSE)</f>
        <v>54</v>
      </c>
      <c r="L98">
        <f>Shoe_Sales[[#This Row],[Cost Price]]*Shoe_Sales[[#This Row],[Quantity]]</f>
        <v>252</v>
      </c>
      <c r="M98">
        <f>Shoe_Sales[[#This Row],[Selling Price]]*Shoe_Sales[[#This Row],[Quantity]]</f>
        <v>486</v>
      </c>
      <c r="N98">
        <f>Shoe_Sales[[#This Row],[Revenue]]-Shoe_Sales[[#This Row],[Cost]]</f>
        <v>234</v>
      </c>
      <c r="O98" s="3">
        <f>Shoe_Sales[[#This Row],[Profit]]/Shoe_Sales[[#This Row],[Revenue]]</f>
        <v>0.48148148148148145</v>
      </c>
    </row>
    <row r="99" spans="1:15" x14ac:dyDescent="0.35">
      <c r="A99" s="2" t="s">
        <v>148</v>
      </c>
      <c r="B99" s="2">
        <v>46071</v>
      </c>
      <c r="C99" t="s">
        <v>22</v>
      </c>
      <c r="D99" t="s">
        <v>19</v>
      </c>
      <c r="E99" t="s">
        <v>11</v>
      </c>
      <c r="F99" t="s">
        <v>29</v>
      </c>
      <c r="G99" t="s">
        <v>36</v>
      </c>
      <c r="H99">
        <v>7</v>
      </c>
      <c r="I99" t="s">
        <v>47</v>
      </c>
      <c r="J99">
        <f>VLOOKUP(Shoe_Sales[[#This Row],[Product]],products!$A$1:$C$9,3,0)</f>
        <v>58</v>
      </c>
      <c r="K99">
        <f>VLOOKUP(Shoe_Sales[[#This Row],[Product]],products!$A$1:$C$9,2,FALSE)</f>
        <v>105</v>
      </c>
      <c r="L99">
        <f>Shoe_Sales[[#This Row],[Cost Price]]*Shoe_Sales[[#This Row],[Quantity]]</f>
        <v>406</v>
      </c>
      <c r="M99">
        <f>Shoe_Sales[[#This Row],[Selling Price]]*Shoe_Sales[[#This Row],[Quantity]]</f>
        <v>735</v>
      </c>
      <c r="N99">
        <f>Shoe_Sales[[#This Row],[Revenue]]-Shoe_Sales[[#This Row],[Cost]]</f>
        <v>329</v>
      </c>
      <c r="O99" s="3">
        <f>Shoe_Sales[[#This Row],[Profit]]/Shoe_Sales[[#This Row],[Revenue]]</f>
        <v>0.44761904761904764</v>
      </c>
    </row>
    <row r="100" spans="1:15" x14ac:dyDescent="0.35">
      <c r="A100" s="2" t="s">
        <v>149</v>
      </c>
      <c r="B100" s="2">
        <v>46072</v>
      </c>
      <c r="C100" t="s">
        <v>42</v>
      </c>
      <c r="D100" t="s">
        <v>19</v>
      </c>
      <c r="E100" t="s">
        <v>16</v>
      </c>
      <c r="F100" t="s">
        <v>35</v>
      </c>
      <c r="G100" t="s">
        <v>32</v>
      </c>
      <c r="H100">
        <v>9</v>
      </c>
      <c r="I100" t="s">
        <v>46</v>
      </c>
      <c r="J100">
        <f>VLOOKUP(Shoe_Sales[[#This Row],[Product]],products!$A$1:$C$9,3,0)</f>
        <v>47</v>
      </c>
      <c r="K100">
        <f>VLOOKUP(Shoe_Sales[[#This Row],[Product]],products!$A$1:$C$9,2,FALSE)</f>
        <v>89</v>
      </c>
      <c r="L100">
        <f>Shoe_Sales[[#This Row],[Cost Price]]*Shoe_Sales[[#This Row],[Quantity]]</f>
        <v>423</v>
      </c>
      <c r="M100">
        <f>Shoe_Sales[[#This Row],[Selling Price]]*Shoe_Sales[[#This Row],[Quantity]]</f>
        <v>801</v>
      </c>
      <c r="N100">
        <f>Shoe_Sales[[#This Row],[Revenue]]-Shoe_Sales[[#This Row],[Cost]]</f>
        <v>378</v>
      </c>
      <c r="O100" s="3">
        <f>Shoe_Sales[[#This Row],[Profit]]/Shoe_Sales[[#This Row],[Revenue]]</f>
        <v>0.47191011235955055</v>
      </c>
    </row>
    <row r="101" spans="1:15" x14ac:dyDescent="0.35">
      <c r="A101" s="2" t="s">
        <v>150</v>
      </c>
      <c r="B101" s="2">
        <v>46072</v>
      </c>
      <c r="C101" t="s">
        <v>41</v>
      </c>
      <c r="D101" t="s">
        <v>31</v>
      </c>
      <c r="E101" t="s">
        <v>20</v>
      </c>
      <c r="F101" t="s">
        <v>40</v>
      </c>
      <c r="G101" t="s">
        <v>9</v>
      </c>
      <c r="H101">
        <v>14</v>
      </c>
      <c r="I101" t="s">
        <v>47</v>
      </c>
      <c r="J101">
        <f>VLOOKUP(Shoe_Sales[[#This Row],[Product]],products!$A$1:$C$9,3,0)</f>
        <v>39</v>
      </c>
      <c r="K101">
        <f>VLOOKUP(Shoe_Sales[[#This Row],[Product]],products!$A$1:$C$9,2,FALSE)</f>
        <v>76</v>
      </c>
      <c r="L101">
        <f>Shoe_Sales[[#This Row],[Cost Price]]*Shoe_Sales[[#This Row],[Quantity]]</f>
        <v>546</v>
      </c>
      <c r="M101">
        <f>Shoe_Sales[[#This Row],[Selling Price]]*Shoe_Sales[[#This Row],[Quantity]]</f>
        <v>1064</v>
      </c>
      <c r="N101">
        <f>Shoe_Sales[[#This Row],[Revenue]]-Shoe_Sales[[#This Row],[Cost]]</f>
        <v>518</v>
      </c>
      <c r="O101" s="3">
        <f>Shoe_Sales[[#This Row],[Profit]]/Shoe_Sales[[#This Row],[Revenue]]</f>
        <v>0.48684210526315791</v>
      </c>
    </row>
    <row r="102" spans="1:15" x14ac:dyDescent="0.35">
      <c r="A102" s="2" t="s">
        <v>151</v>
      </c>
      <c r="B102" s="2">
        <v>46072</v>
      </c>
      <c r="C102" t="s">
        <v>38</v>
      </c>
      <c r="D102" t="s">
        <v>10</v>
      </c>
      <c r="E102" t="s">
        <v>20</v>
      </c>
      <c r="F102" t="s">
        <v>17</v>
      </c>
      <c r="G102" t="s">
        <v>32</v>
      </c>
      <c r="H102">
        <v>15</v>
      </c>
      <c r="I102" t="s">
        <v>45</v>
      </c>
      <c r="J102">
        <f>VLOOKUP(Shoe_Sales[[#This Row],[Product]],products!$A$1:$C$9,3,0)</f>
        <v>64</v>
      </c>
      <c r="K102">
        <f>VLOOKUP(Shoe_Sales[[#This Row],[Product]],products!$A$1:$C$9,2,FALSE)</f>
        <v>112</v>
      </c>
      <c r="L102">
        <f>Shoe_Sales[[#This Row],[Cost Price]]*Shoe_Sales[[#This Row],[Quantity]]</f>
        <v>960</v>
      </c>
      <c r="M102">
        <f>Shoe_Sales[[#This Row],[Selling Price]]*Shoe_Sales[[#This Row],[Quantity]]</f>
        <v>1680</v>
      </c>
      <c r="N102">
        <f>Shoe_Sales[[#This Row],[Revenue]]-Shoe_Sales[[#This Row],[Cost]]</f>
        <v>720</v>
      </c>
      <c r="O102" s="3">
        <f>Shoe_Sales[[#This Row],[Profit]]/Shoe_Sales[[#This Row],[Revenue]]</f>
        <v>0.42857142857142855</v>
      </c>
    </row>
    <row r="103" spans="1:15" x14ac:dyDescent="0.35">
      <c r="A103" s="2" t="s">
        <v>152</v>
      </c>
      <c r="B103" s="2">
        <v>46073</v>
      </c>
      <c r="C103" t="s">
        <v>38</v>
      </c>
      <c r="D103" t="s">
        <v>10</v>
      </c>
      <c r="E103" t="s">
        <v>20</v>
      </c>
      <c r="F103" t="s">
        <v>35</v>
      </c>
      <c r="G103" t="s">
        <v>12</v>
      </c>
      <c r="H103">
        <v>4</v>
      </c>
      <c r="I103" t="s">
        <v>45</v>
      </c>
      <c r="J103">
        <f>VLOOKUP(Shoe_Sales[[#This Row],[Product]],products!$A$1:$C$9,3,0)</f>
        <v>64</v>
      </c>
      <c r="K103">
        <f>VLOOKUP(Shoe_Sales[[#This Row],[Product]],products!$A$1:$C$9,2,FALSE)</f>
        <v>112</v>
      </c>
      <c r="L103">
        <f>Shoe_Sales[[#This Row],[Cost Price]]*Shoe_Sales[[#This Row],[Quantity]]</f>
        <v>256</v>
      </c>
      <c r="M103">
        <f>Shoe_Sales[[#This Row],[Selling Price]]*Shoe_Sales[[#This Row],[Quantity]]</f>
        <v>448</v>
      </c>
      <c r="N103">
        <f>Shoe_Sales[[#This Row],[Revenue]]-Shoe_Sales[[#This Row],[Cost]]</f>
        <v>192</v>
      </c>
      <c r="O103" s="3">
        <f>Shoe_Sales[[#This Row],[Profit]]/Shoe_Sales[[#This Row],[Revenue]]</f>
        <v>0.42857142857142855</v>
      </c>
    </row>
    <row r="104" spans="1:15" x14ac:dyDescent="0.35">
      <c r="A104" s="2" t="s">
        <v>153</v>
      </c>
      <c r="B104" s="2">
        <v>46073</v>
      </c>
      <c r="C104" t="s">
        <v>41</v>
      </c>
      <c r="D104" t="s">
        <v>31</v>
      </c>
      <c r="E104" t="s">
        <v>14</v>
      </c>
      <c r="F104" t="s">
        <v>17</v>
      </c>
      <c r="G104" t="s">
        <v>28</v>
      </c>
      <c r="H104">
        <v>8</v>
      </c>
      <c r="I104" t="s">
        <v>48</v>
      </c>
      <c r="J104">
        <f>VLOOKUP(Shoe_Sales[[#This Row],[Product]],products!$A$1:$C$9,3,0)</f>
        <v>39</v>
      </c>
      <c r="K104">
        <f>VLOOKUP(Shoe_Sales[[#This Row],[Product]],products!$A$1:$C$9,2,FALSE)</f>
        <v>76</v>
      </c>
      <c r="L104">
        <f>Shoe_Sales[[#This Row],[Cost Price]]*Shoe_Sales[[#This Row],[Quantity]]</f>
        <v>312</v>
      </c>
      <c r="M104">
        <f>Shoe_Sales[[#This Row],[Selling Price]]*Shoe_Sales[[#This Row],[Quantity]]</f>
        <v>608</v>
      </c>
      <c r="N104">
        <f>Shoe_Sales[[#This Row],[Revenue]]-Shoe_Sales[[#This Row],[Cost]]</f>
        <v>296</v>
      </c>
      <c r="O104" s="3">
        <f>Shoe_Sales[[#This Row],[Profit]]/Shoe_Sales[[#This Row],[Revenue]]</f>
        <v>0.48684210526315791</v>
      </c>
    </row>
    <row r="105" spans="1:15" x14ac:dyDescent="0.35">
      <c r="A105" s="2" t="s">
        <v>154</v>
      </c>
      <c r="B105" s="2">
        <v>46074</v>
      </c>
      <c r="C105" t="s">
        <v>27</v>
      </c>
      <c r="D105" t="s">
        <v>25</v>
      </c>
      <c r="E105" t="s">
        <v>20</v>
      </c>
      <c r="F105" t="s">
        <v>8</v>
      </c>
      <c r="G105" t="s">
        <v>36</v>
      </c>
      <c r="H105">
        <v>8</v>
      </c>
      <c r="I105" t="s">
        <v>46</v>
      </c>
      <c r="J105">
        <f>VLOOKUP(Shoe_Sales[[#This Row],[Product]],products!$A$1:$C$9,3,0)</f>
        <v>14</v>
      </c>
      <c r="K105">
        <f>VLOOKUP(Shoe_Sales[[#This Row],[Product]],products!$A$1:$C$9,2,FALSE)</f>
        <v>32</v>
      </c>
      <c r="L105">
        <f>Shoe_Sales[[#This Row],[Cost Price]]*Shoe_Sales[[#This Row],[Quantity]]</f>
        <v>112</v>
      </c>
      <c r="M105">
        <f>Shoe_Sales[[#This Row],[Selling Price]]*Shoe_Sales[[#This Row],[Quantity]]</f>
        <v>256</v>
      </c>
      <c r="N105">
        <f>Shoe_Sales[[#This Row],[Revenue]]-Shoe_Sales[[#This Row],[Cost]]</f>
        <v>144</v>
      </c>
      <c r="O105" s="3">
        <f>Shoe_Sales[[#This Row],[Profit]]/Shoe_Sales[[#This Row],[Revenue]]</f>
        <v>0.5625</v>
      </c>
    </row>
    <row r="106" spans="1:15" x14ac:dyDescent="0.35">
      <c r="A106" s="2" t="s">
        <v>155</v>
      </c>
      <c r="B106" s="2">
        <v>46074</v>
      </c>
      <c r="C106" t="s">
        <v>27</v>
      </c>
      <c r="D106" t="s">
        <v>31</v>
      </c>
      <c r="E106" t="s">
        <v>20</v>
      </c>
      <c r="F106" t="s">
        <v>8</v>
      </c>
      <c r="G106" t="s">
        <v>21</v>
      </c>
      <c r="H106">
        <v>3</v>
      </c>
      <c r="I106" t="s">
        <v>45</v>
      </c>
      <c r="J106">
        <f>VLOOKUP(Shoe_Sales[[#This Row],[Product]],products!$A$1:$C$9,3,0)</f>
        <v>14</v>
      </c>
      <c r="K106">
        <f>VLOOKUP(Shoe_Sales[[#This Row],[Product]],products!$A$1:$C$9,2,FALSE)</f>
        <v>32</v>
      </c>
      <c r="L106">
        <f>Shoe_Sales[[#This Row],[Cost Price]]*Shoe_Sales[[#This Row],[Quantity]]</f>
        <v>42</v>
      </c>
      <c r="M106">
        <f>Shoe_Sales[[#This Row],[Selling Price]]*Shoe_Sales[[#This Row],[Quantity]]</f>
        <v>96</v>
      </c>
      <c r="N106">
        <f>Shoe_Sales[[#This Row],[Revenue]]-Shoe_Sales[[#This Row],[Cost]]</f>
        <v>54</v>
      </c>
      <c r="O106" s="3">
        <f>Shoe_Sales[[#This Row],[Profit]]/Shoe_Sales[[#This Row],[Revenue]]</f>
        <v>0.5625</v>
      </c>
    </row>
    <row r="107" spans="1:15" x14ac:dyDescent="0.35">
      <c r="A107" s="2" t="s">
        <v>156</v>
      </c>
      <c r="B107" s="2">
        <v>46075</v>
      </c>
      <c r="C107" t="s">
        <v>39</v>
      </c>
      <c r="D107" t="s">
        <v>31</v>
      </c>
      <c r="E107" t="s">
        <v>20</v>
      </c>
      <c r="F107" t="s">
        <v>8</v>
      </c>
      <c r="G107" t="s">
        <v>24</v>
      </c>
      <c r="H107">
        <v>10</v>
      </c>
      <c r="I107" t="s">
        <v>46</v>
      </c>
      <c r="J107">
        <f>VLOOKUP(Shoe_Sales[[#This Row],[Product]],products!$A$1:$C$9,3,0)</f>
        <v>72</v>
      </c>
      <c r="K107">
        <f>VLOOKUP(Shoe_Sales[[#This Row],[Product]],products!$A$1:$C$9,2,FALSE)</f>
        <v>128</v>
      </c>
      <c r="L107">
        <f>Shoe_Sales[[#This Row],[Cost Price]]*Shoe_Sales[[#This Row],[Quantity]]</f>
        <v>720</v>
      </c>
      <c r="M107">
        <f>Shoe_Sales[[#This Row],[Selling Price]]*Shoe_Sales[[#This Row],[Quantity]]</f>
        <v>1280</v>
      </c>
      <c r="N107">
        <f>Shoe_Sales[[#This Row],[Revenue]]-Shoe_Sales[[#This Row],[Cost]]</f>
        <v>560</v>
      </c>
      <c r="O107" s="3">
        <f>Shoe_Sales[[#This Row],[Profit]]/Shoe_Sales[[#This Row],[Revenue]]</f>
        <v>0.4375</v>
      </c>
    </row>
    <row r="108" spans="1:15" x14ac:dyDescent="0.35">
      <c r="A108" s="2" t="s">
        <v>157</v>
      </c>
      <c r="B108" s="2">
        <v>46076</v>
      </c>
      <c r="C108" t="s">
        <v>41</v>
      </c>
      <c r="D108" t="s">
        <v>19</v>
      </c>
      <c r="E108" t="s">
        <v>7</v>
      </c>
      <c r="F108" t="s">
        <v>8</v>
      </c>
      <c r="G108" t="s">
        <v>34</v>
      </c>
      <c r="H108">
        <v>6</v>
      </c>
      <c r="I108" t="s">
        <v>45</v>
      </c>
      <c r="J108">
        <f>VLOOKUP(Shoe_Sales[[#This Row],[Product]],products!$A$1:$C$9,3,0)</f>
        <v>39</v>
      </c>
      <c r="K108">
        <f>VLOOKUP(Shoe_Sales[[#This Row],[Product]],products!$A$1:$C$9,2,FALSE)</f>
        <v>76</v>
      </c>
      <c r="L108">
        <f>Shoe_Sales[[#This Row],[Cost Price]]*Shoe_Sales[[#This Row],[Quantity]]</f>
        <v>234</v>
      </c>
      <c r="M108">
        <f>Shoe_Sales[[#This Row],[Selling Price]]*Shoe_Sales[[#This Row],[Quantity]]</f>
        <v>456</v>
      </c>
      <c r="N108">
        <f>Shoe_Sales[[#This Row],[Revenue]]-Shoe_Sales[[#This Row],[Cost]]</f>
        <v>222</v>
      </c>
      <c r="O108" s="3">
        <f>Shoe_Sales[[#This Row],[Profit]]/Shoe_Sales[[#This Row],[Revenue]]</f>
        <v>0.48684210526315791</v>
      </c>
    </row>
    <row r="109" spans="1:15" x14ac:dyDescent="0.35">
      <c r="A109" s="2" t="s">
        <v>158</v>
      </c>
      <c r="B109" s="2">
        <v>46077</v>
      </c>
      <c r="C109" t="s">
        <v>39</v>
      </c>
      <c r="D109" t="s">
        <v>25</v>
      </c>
      <c r="E109" t="s">
        <v>11</v>
      </c>
      <c r="F109" t="s">
        <v>35</v>
      </c>
      <c r="G109" t="s">
        <v>9</v>
      </c>
      <c r="H109">
        <v>5</v>
      </c>
      <c r="I109" t="s">
        <v>45</v>
      </c>
      <c r="J109">
        <f>VLOOKUP(Shoe_Sales[[#This Row],[Product]],products!$A$1:$C$9,3,0)</f>
        <v>72</v>
      </c>
      <c r="K109">
        <f>VLOOKUP(Shoe_Sales[[#This Row],[Product]],products!$A$1:$C$9,2,FALSE)</f>
        <v>128</v>
      </c>
      <c r="L109">
        <f>Shoe_Sales[[#This Row],[Cost Price]]*Shoe_Sales[[#This Row],[Quantity]]</f>
        <v>360</v>
      </c>
      <c r="M109">
        <f>Shoe_Sales[[#This Row],[Selling Price]]*Shoe_Sales[[#This Row],[Quantity]]</f>
        <v>640</v>
      </c>
      <c r="N109">
        <f>Shoe_Sales[[#This Row],[Revenue]]-Shoe_Sales[[#This Row],[Cost]]</f>
        <v>280</v>
      </c>
      <c r="O109" s="3">
        <f>Shoe_Sales[[#This Row],[Profit]]/Shoe_Sales[[#This Row],[Revenue]]</f>
        <v>0.4375</v>
      </c>
    </row>
    <row r="110" spans="1:15" x14ac:dyDescent="0.35">
      <c r="A110" s="2" t="s">
        <v>159</v>
      </c>
      <c r="B110" s="2">
        <v>46077</v>
      </c>
      <c r="C110" t="s">
        <v>22</v>
      </c>
      <c r="D110" t="s">
        <v>10</v>
      </c>
      <c r="E110" t="s">
        <v>11</v>
      </c>
      <c r="F110" t="s">
        <v>8</v>
      </c>
      <c r="G110" t="s">
        <v>26</v>
      </c>
      <c r="H110">
        <v>7</v>
      </c>
      <c r="I110" t="s">
        <v>46</v>
      </c>
      <c r="J110">
        <f>VLOOKUP(Shoe_Sales[[#This Row],[Product]],products!$A$1:$C$9,3,0)</f>
        <v>58</v>
      </c>
      <c r="K110">
        <f>VLOOKUP(Shoe_Sales[[#This Row],[Product]],products!$A$1:$C$9,2,FALSE)</f>
        <v>105</v>
      </c>
      <c r="L110">
        <f>Shoe_Sales[[#This Row],[Cost Price]]*Shoe_Sales[[#This Row],[Quantity]]</f>
        <v>406</v>
      </c>
      <c r="M110">
        <f>Shoe_Sales[[#This Row],[Selling Price]]*Shoe_Sales[[#This Row],[Quantity]]</f>
        <v>735</v>
      </c>
      <c r="N110">
        <f>Shoe_Sales[[#This Row],[Revenue]]-Shoe_Sales[[#This Row],[Cost]]</f>
        <v>329</v>
      </c>
      <c r="O110" s="3">
        <f>Shoe_Sales[[#This Row],[Profit]]/Shoe_Sales[[#This Row],[Revenue]]</f>
        <v>0.44761904761904764</v>
      </c>
    </row>
    <row r="111" spans="1:15" x14ac:dyDescent="0.35">
      <c r="A111" s="2" t="s">
        <v>160</v>
      </c>
      <c r="B111" s="2">
        <v>46077</v>
      </c>
      <c r="C111" t="s">
        <v>27</v>
      </c>
      <c r="D111" t="s">
        <v>31</v>
      </c>
      <c r="E111" t="s">
        <v>14</v>
      </c>
      <c r="F111" t="s">
        <v>8</v>
      </c>
      <c r="G111" t="s">
        <v>9</v>
      </c>
      <c r="H111">
        <v>6</v>
      </c>
      <c r="I111" t="s">
        <v>45</v>
      </c>
      <c r="J111">
        <f>VLOOKUP(Shoe_Sales[[#This Row],[Product]],products!$A$1:$C$9,3,0)</f>
        <v>14</v>
      </c>
      <c r="K111">
        <f>VLOOKUP(Shoe_Sales[[#This Row],[Product]],products!$A$1:$C$9,2,FALSE)</f>
        <v>32</v>
      </c>
      <c r="L111">
        <f>Shoe_Sales[[#This Row],[Cost Price]]*Shoe_Sales[[#This Row],[Quantity]]</f>
        <v>84</v>
      </c>
      <c r="M111">
        <f>Shoe_Sales[[#This Row],[Selling Price]]*Shoe_Sales[[#This Row],[Quantity]]</f>
        <v>192</v>
      </c>
      <c r="N111">
        <f>Shoe_Sales[[#This Row],[Revenue]]-Shoe_Sales[[#This Row],[Cost]]</f>
        <v>108</v>
      </c>
      <c r="O111" s="3">
        <f>Shoe_Sales[[#This Row],[Profit]]/Shoe_Sales[[#This Row],[Revenue]]</f>
        <v>0.5625</v>
      </c>
    </row>
    <row r="112" spans="1:15" x14ac:dyDescent="0.35">
      <c r="A112" s="2" t="s">
        <v>161</v>
      </c>
      <c r="B112" s="2">
        <v>46078</v>
      </c>
      <c r="C112" t="s">
        <v>33</v>
      </c>
      <c r="D112" t="s">
        <v>25</v>
      </c>
      <c r="E112" t="s">
        <v>11</v>
      </c>
      <c r="F112" t="s">
        <v>8</v>
      </c>
      <c r="G112" t="s">
        <v>21</v>
      </c>
      <c r="H112">
        <v>2</v>
      </c>
      <c r="I112" t="s">
        <v>48</v>
      </c>
      <c r="J112">
        <f>VLOOKUP(Shoe_Sales[[#This Row],[Product]],products!$A$1:$C$9,3,0)</f>
        <v>28</v>
      </c>
      <c r="K112">
        <f>VLOOKUP(Shoe_Sales[[#This Row],[Product]],products!$A$1:$C$9,2,FALSE)</f>
        <v>54</v>
      </c>
      <c r="L112">
        <f>Shoe_Sales[[#This Row],[Cost Price]]*Shoe_Sales[[#This Row],[Quantity]]</f>
        <v>56</v>
      </c>
      <c r="M112">
        <f>Shoe_Sales[[#This Row],[Selling Price]]*Shoe_Sales[[#This Row],[Quantity]]</f>
        <v>108</v>
      </c>
      <c r="N112">
        <f>Shoe_Sales[[#This Row],[Revenue]]-Shoe_Sales[[#This Row],[Cost]]</f>
        <v>52</v>
      </c>
      <c r="O112" s="3">
        <f>Shoe_Sales[[#This Row],[Profit]]/Shoe_Sales[[#This Row],[Revenue]]</f>
        <v>0.48148148148148145</v>
      </c>
    </row>
    <row r="113" spans="1:15" x14ac:dyDescent="0.35">
      <c r="A113" s="2" t="s">
        <v>162</v>
      </c>
      <c r="B113" s="2">
        <v>46078</v>
      </c>
      <c r="C113" t="s">
        <v>41</v>
      </c>
      <c r="D113" t="s">
        <v>19</v>
      </c>
      <c r="E113" t="s">
        <v>20</v>
      </c>
      <c r="F113" t="s">
        <v>17</v>
      </c>
      <c r="G113" t="s">
        <v>18</v>
      </c>
      <c r="H113">
        <v>8</v>
      </c>
      <c r="I113" t="s">
        <v>47</v>
      </c>
      <c r="J113">
        <f>VLOOKUP(Shoe_Sales[[#This Row],[Product]],products!$A$1:$C$9,3,0)</f>
        <v>39</v>
      </c>
      <c r="K113">
        <f>VLOOKUP(Shoe_Sales[[#This Row],[Product]],products!$A$1:$C$9,2,FALSE)</f>
        <v>76</v>
      </c>
      <c r="L113">
        <f>Shoe_Sales[[#This Row],[Cost Price]]*Shoe_Sales[[#This Row],[Quantity]]</f>
        <v>312</v>
      </c>
      <c r="M113">
        <f>Shoe_Sales[[#This Row],[Selling Price]]*Shoe_Sales[[#This Row],[Quantity]]</f>
        <v>608</v>
      </c>
      <c r="N113">
        <f>Shoe_Sales[[#This Row],[Revenue]]-Shoe_Sales[[#This Row],[Cost]]</f>
        <v>296</v>
      </c>
      <c r="O113" s="3">
        <f>Shoe_Sales[[#This Row],[Profit]]/Shoe_Sales[[#This Row],[Revenue]]</f>
        <v>0.48684210526315791</v>
      </c>
    </row>
    <row r="114" spans="1:15" x14ac:dyDescent="0.35">
      <c r="A114" s="2" t="s">
        <v>163</v>
      </c>
      <c r="B114" s="2">
        <v>46078</v>
      </c>
      <c r="C114" t="s">
        <v>27</v>
      </c>
      <c r="D114" t="s">
        <v>25</v>
      </c>
      <c r="E114" t="s">
        <v>11</v>
      </c>
      <c r="F114" t="s">
        <v>8</v>
      </c>
      <c r="G114" t="s">
        <v>26</v>
      </c>
      <c r="H114">
        <v>8</v>
      </c>
      <c r="I114" t="s">
        <v>45</v>
      </c>
      <c r="J114">
        <f>VLOOKUP(Shoe_Sales[[#This Row],[Product]],products!$A$1:$C$9,3,0)</f>
        <v>14</v>
      </c>
      <c r="K114">
        <f>VLOOKUP(Shoe_Sales[[#This Row],[Product]],products!$A$1:$C$9,2,FALSE)</f>
        <v>32</v>
      </c>
      <c r="L114">
        <f>Shoe_Sales[[#This Row],[Cost Price]]*Shoe_Sales[[#This Row],[Quantity]]</f>
        <v>112</v>
      </c>
      <c r="M114">
        <f>Shoe_Sales[[#This Row],[Selling Price]]*Shoe_Sales[[#This Row],[Quantity]]</f>
        <v>256</v>
      </c>
      <c r="N114">
        <f>Shoe_Sales[[#This Row],[Revenue]]-Shoe_Sales[[#This Row],[Cost]]</f>
        <v>144</v>
      </c>
      <c r="O114" s="3">
        <f>Shoe_Sales[[#This Row],[Profit]]/Shoe_Sales[[#This Row],[Revenue]]</f>
        <v>0.5625</v>
      </c>
    </row>
    <row r="115" spans="1:15" x14ac:dyDescent="0.35">
      <c r="A115" s="2" t="s">
        <v>164</v>
      </c>
      <c r="B115" s="2">
        <v>46078</v>
      </c>
      <c r="C115" t="s">
        <v>39</v>
      </c>
      <c r="D115" t="s">
        <v>10</v>
      </c>
      <c r="E115" t="s">
        <v>11</v>
      </c>
      <c r="F115" t="s">
        <v>17</v>
      </c>
      <c r="G115" t="s">
        <v>18</v>
      </c>
      <c r="H115">
        <v>13</v>
      </c>
      <c r="I115" t="s">
        <v>48</v>
      </c>
      <c r="J115">
        <f>VLOOKUP(Shoe_Sales[[#This Row],[Product]],products!$A$1:$C$9,3,0)</f>
        <v>72</v>
      </c>
      <c r="K115">
        <f>VLOOKUP(Shoe_Sales[[#This Row],[Product]],products!$A$1:$C$9,2,FALSE)</f>
        <v>128</v>
      </c>
      <c r="L115">
        <f>Shoe_Sales[[#This Row],[Cost Price]]*Shoe_Sales[[#This Row],[Quantity]]</f>
        <v>936</v>
      </c>
      <c r="M115">
        <f>Shoe_Sales[[#This Row],[Selling Price]]*Shoe_Sales[[#This Row],[Quantity]]</f>
        <v>1664</v>
      </c>
      <c r="N115">
        <f>Shoe_Sales[[#This Row],[Revenue]]-Shoe_Sales[[#This Row],[Cost]]</f>
        <v>728</v>
      </c>
      <c r="O115" s="3">
        <f>Shoe_Sales[[#This Row],[Profit]]/Shoe_Sales[[#This Row],[Revenue]]</f>
        <v>0.4375</v>
      </c>
    </row>
    <row r="116" spans="1:15" x14ac:dyDescent="0.35">
      <c r="A116" s="2" t="s">
        <v>165</v>
      </c>
      <c r="B116" s="2">
        <v>46079</v>
      </c>
      <c r="C116" t="s">
        <v>39</v>
      </c>
      <c r="D116" t="s">
        <v>31</v>
      </c>
      <c r="E116" t="s">
        <v>14</v>
      </c>
      <c r="F116" t="s">
        <v>8</v>
      </c>
      <c r="G116" t="s">
        <v>34</v>
      </c>
      <c r="H116">
        <v>5</v>
      </c>
      <c r="I116" t="s">
        <v>45</v>
      </c>
      <c r="J116">
        <f>VLOOKUP(Shoe_Sales[[#This Row],[Product]],products!$A$1:$C$9,3,0)</f>
        <v>72</v>
      </c>
      <c r="K116">
        <f>VLOOKUP(Shoe_Sales[[#This Row],[Product]],products!$A$1:$C$9,2,FALSE)</f>
        <v>128</v>
      </c>
      <c r="L116">
        <f>Shoe_Sales[[#This Row],[Cost Price]]*Shoe_Sales[[#This Row],[Quantity]]</f>
        <v>360</v>
      </c>
      <c r="M116">
        <f>Shoe_Sales[[#This Row],[Selling Price]]*Shoe_Sales[[#This Row],[Quantity]]</f>
        <v>640</v>
      </c>
      <c r="N116">
        <f>Shoe_Sales[[#This Row],[Revenue]]-Shoe_Sales[[#This Row],[Cost]]</f>
        <v>280</v>
      </c>
      <c r="O116" s="3">
        <f>Shoe_Sales[[#This Row],[Profit]]/Shoe_Sales[[#This Row],[Revenue]]</f>
        <v>0.4375</v>
      </c>
    </row>
    <row r="117" spans="1:15" x14ac:dyDescent="0.35">
      <c r="A117" s="2" t="s">
        <v>166</v>
      </c>
      <c r="B117" s="2">
        <v>46080</v>
      </c>
      <c r="C117" t="s">
        <v>42</v>
      </c>
      <c r="D117" t="s">
        <v>10</v>
      </c>
      <c r="E117" t="s">
        <v>14</v>
      </c>
      <c r="F117" t="s">
        <v>35</v>
      </c>
      <c r="G117" t="s">
        <v>18</v>
      </c>
      <c r="H117">
        <v>11</v>
      </c>
      <c r="I117" t="s">
        <v>46</v>
      </c>
      <c r="J117">
        <f>VLOOKUP(Shoe_Sales[[#This Row],[Product]],products!$A$1:$C$9,3,0)</f>
        <v>47</v>
      </c>
      <c r="K117">
        <f>VLOOKUP(Shoe_Sales[[#This Row],[Product]],products!$A$1:$C$9,2,FALSE)</f>
        <v>89</v>
      </c>
      <c r="L117">
        <f>Shoe_Sales[[#This Row],[Cost Price]]*Shoe_Sales[[#This Row],[Quantity]]</f>
        <v>517</v>
      </c>
      <c r="M117">
        <f>Shoe_Sales[[#This Row],[Selling Price]]*Shoe_Sales[[#This Row],[Quantity]]</f>
        <v>979</v>
      </c>
      <c r="N117">
        <f>Shoe_Sales[[#This Row],[Revenue]]-Shoe_Sales[[#This Row],[Cost]]</f>
        <v>462</v>
      </c>
      <c r="O117" s="3">
        <f>Shoe_Sales[[#This Row],[Profit]]/Shoe_Sales[[#This Row],[Revenue]]</f>
        <v>0.47191011235955055</v>
      </c>
    </row>
    <row r="118" spans="1:15" x14ac:dyDescent="0.35">
      <c r="A118" s="2" t="s">
        <v>167</v>
      </c>
      <c r="B118" s="2">
        <v>46080</v>
      </c>
      <c r="C118" t="s">
        <v>41</v>
      </c>
      <c r="D118" t="s">
        <v>25</v>
      </c>
      <c r="E118" t="s">
        <v>16</v>
      </c>
      <c r="F118" t="s">
        <v>17</v>
      </c>
      <c r="G118" t="s">
        <v>9</v>
      </c>
      <c r="H118">
        <v>8</v>
      </c>
      <c r="I118" t="s">
        <v>47</v>
      </c>
      <c r="J118">
        <f>VLOOKUP(Shoe_Sales[[#This Row],[Product]],products!$A$1:$C$9,3,0)</f>
        <v>39</v>
      </c>
      <c r="K118">
        <f>VLOOKUP(Shoe_Sales[[#This Row],[Product]],products!$A$1:$C$9,2,FALSE)</f>
        <v>76</v>
      </c>
      <c r="L118">
        <f>Shoe_Sales[[#This Row],[Cost Price]]*Shoe_Sales[[#This Row],[Quantity]]</f>
        <v>312</v>
      </c>
      <c r="M118">
        <f>Shoe_Sales[[#This Row],[Selling Price]]*Shoe_Sales[[#This Row],[Quantity]]</f>
        <v>608</v>
      </c>
      <c r="N118">
        <f>Shoe_Sales[[#This Row],[Revenue]]-Shoe_Sales[[#This Row],[Cost]]</f>
        <v>296</v>
      </c>
      <c r="O118" s="3">
        <f>Shoe_Sales[[#This Row],[Profit]]/Shoe_Sales[[#This Row],[Revenue]]</f>
        <v>0.48684210526315791</v>
      </c>
    </row>
    <row r="119" spans="1:15" x14ac:dyDescent="0.35">
      <c r="A119" s="2" t="s">
        <v>168</v>
      </c>
      <c r="B119" s="2">
        <v>46080</v>
      </c>
      <c r="C119" t="s">
        <v>42</v>
      </c>
      <c r="D119" t="s">
        <v>25</v>
      </c>
      <c r="E119" t="s">
        <v>11</v>
      </c>
      <c r="F119" t="s">
        <v>8</v>
      </c>
      <c r="G119" t="s">
        <v>23</v>
      </c>
      <c r="H119">
        <v>5</v>
      </c>
      <c r="I119" t="s">
        <v>45</v>
      </c>
      <c r="J119">
        <f>VLOOKUP(Shoe_Sales[[#This Row],[Product]],products!$A$1:$C$9,3,0)</f>
        <v>47</v>
      </c>
      <c r="K119">
        <f>VLOOKUP(Shoe_Sales[[#This Row],[Product]],products!$A$1:$C$9,2,FALSE)</f>
        <v>89</v>
      </c>
      <c r="L119">
        <f>Shoe_Sales[[#This Row],[Cost Price]]*Shoe_Sales[[#This Row],[Quantity]]</f>
        <v>235</v>
      </c>
      <c r="M119">
        <f>Shoe_Sales[[#This Row],[Selling Price]]*Shoe_Sales[[#This Row],[Quantity]]</f>
        <v>445</v>
      </c>
      <c r="N119">
        <f>Shoe_Sales[[#This Row],[Revenue]]-Shoe_Sales[[#This Row],[Cost]]</f>
        <v>210</v>
      </c>
      <c r="O119" s="3">
        <f>Shoe_Sales[[#This Row],[Profit]]/Shoe_Sales[[#This Row],[Revenue]]</f>
        <v>0.47191011235955055</v>
      </c>
    </row>
    <row r="120" spans="1:15" x14ac:dyDescent="0.35">
      <c r="A120" s="2" t="s">
        <v>169</v>
      </c>
      <c r="B120" s="2">
        <v>46080</v>
      </c>
      <c r="C120" t="s">
        <v>42</v>
      </c>
      <c r="D120" t="s">
        <v>10</v>
      </c>
      <c r="E120" t="s">
        <v>11</v>
      </c>
      <c r="F120" t="s">
        <v>17</v>
      </c>
      <c r="G120" t="s">
        <v>28</v>
      </c>
      <c r="H120">
        <v>9</v>
      </c>
      <c r="I120" t="s">
        <v>47</v>
      </c>
      <c r="J120">
        <f>VLOOKUP(Shoe_Sales[[#This Row],[Product]],products!$A$1:$C$9,3,0)</f>
        <v>47</v>
      </c>
      <c r="K120">
        <f>VLOOKUP(Shoe_Sales[[#This Row],[Product]],products!$A$1:$C$9,2,FALSE)</f>
        <v>89</v>
      </c>
      <c r="L120">
        <f>Shoe_Sales[[#This Row],[Cost Price]]*Shoe_Sales[[#This Row],[Quantity]]</f>
        <v>423</v>
      </c>
      <c r="M120">
        <f>Shoe_Sales[[#This Row],[Selling Price]]*Shoe_Sales[[#This Row],[Quantity]]</f>
        <v>801</v>
      </c>
      <c r="N120">
        <f>Shoe_Sales[[#This Row],[Revenue]]-Shoe_Sales[[#This Row],[Cost]]</f>
        <v>378</v>
      </c>
      <c r="O120" s="3">
        <f>Shoe_Sales[[#This Row],[Profit]]/Shoe_Sales[[#This Row],[Revenue]]</f>
        <v>0.47191011235955055</v>
      </c>
    </row>
    <row r="121" spans="1:15" x14ac:dyDescent="0.35">
      <c r="A121" s="2" t="s">
        <v>170</v>
      </c>
      <c r="B121" s="2">
        <v>46081</v>
      </c>
      <c r="C121" t="s">
        <v>22</v>
      </c>
      <c r="D121" t="s">
        <v>25</v>
      </c>
      <c r="E121" t="s">
        <v>20</v>
      </c>
      <c r="F121" t="s">
        <v>40</v>
      </c>
      <c r="G121" t="s">
        <v>18</v>
      </c>
      <c r="H121">
        <v>14</v>
      </c>
      <c r="I121" t="s">
        <v>45</v>
      </c>
      <c r="J121">
        <f>VLOOKUP(Shoe_Sales[[#This Row],[Product]],products!$A$1:$C$9,3,0)</f>
        <v>58</v>
      </c>
      <c r="K121">
        <f>VLOOKUP(Shoe_Sales[[#This Row],[Product]],products!$A$1:$C$9,2,FALSE)</f>
        <v>105</v>
      </c>
      <c r="L121">
        <f>Shoe_Sales[[#This Row],[Cost Price]]*Shoe_Sales[[#This Row],[Quantity]]</f>
        <v>812</v>
      </c>
      <c r="M121">
        <f>Shoe_Sales[[#This Row],[Selling Price]]*Shoe_Sales[[#This Row],[Quantity]]</f>
        <v>1470</v>
      </c>
      <c r="N121">
        <f>Shoe_Sales[[#This Row],[Revenue]]-Shoe_Sales[[#This Row],[Cost]]</f>
        <v>658</v>
      </c>
      <c r="O121" s="3">
        <f>Shoe_Sales[[#This Row],[Profit]]/Shoe_Sales[[#This Row],[Revenue]]</f>
        <v>0.44761904761904764</v>
      </c>
    </row>
    <row r="122" spans="1:15" x14ac:dyDescent="0.35">
      <c r="A122" s="2" t="s">
        <v>171</v>
      </c>
      <c r="B122" s="2">
        <v>46081</v>
      </c>
      <c r="C122" t="s">
        <v>33</v>
      </c>
      <c r="D122" t="s">
        <v>25</v>
      </c>
      <c r="E122" t="s">
        <v>16</v>
      </c>
      <c r="F122" t="s">
        <v>40</v>
      </c>
      <c r="G122" t="s">
        <v>12</v>
      </c>
      <c r="H122">
        <v>1</v>
      </c>
      <c r="I122" t="s">
        <v>45</v>
      </c>
      <c r="J122">
        <f>VLOOKUP(Shoe_Sales[[#This Row],[Product]],products!$A$1:$C$9,3,0)</f>
        <v>28</v>
      </c>
      <c r="K122">
        <f>VLOOKUP(Shoe_Sales[[#This Row],[Product]],products!$A$1:$C$9,2,FALSE)</f>
        <v>54</v>
      </c>
      <c r="L122">
        <f>Shoe_Sales[[#This Row],[Cost Price]]*Shoe_Sales[[#This Row],[Quantity]]</f>
        <v>28</v>
      </c>
      <c r="M122">
        <f>Shoe_Sales[[#This Row],[Selling Price]]*Shoe_Sales[[#This Row],[Quantity]]</f>
        <v>54</v>
      </c>
      <c r="N122">
        <f>Shoe_Sales[[#This Row],[Revenue]]-Shoe_Sales[[#This Row],[Cost]]</f>
        <v>26</v>
      </c>
      <c r="O122" s="3">
        <f>Shoe_Sales[[#This Row],[Profit]]/Shoe_Sales[[#This Row],[Revenue]]</f>
        <v>0.48148148148148145</v>
      </c>
    </row>
    <row r="123" spans="1:15" x14ac:dyDescent="0.35">
      <c r="A123" s="2" t="s">
        <v>172</v>
      </c>
      <c r="B123" s="2">
        <v>46083</v>
      </c>
      <c r="C123" t="s">
        <v>41</v>
      </c>
      <c r="D123" t="s">
        <v>10</v>
      </c>
      <c r="E123" t="s">
        <v>11</v>
      </c>
      <c r="F123" t="s">
        <v>35</v>
      </c>
      <c r="G123" t="s">
        <v>34</v>
      </c>
      <c r="H123">
        <v>4</v>
      </c>
      <c r="I123" t="s">
        <v>48</v>
      </c>
      <c r="J123">
        <f>VLOOKUP(Shoe_Sales[[#This Row],[Product]],products!$A$1:$C$9,3,0)</f>
        <v>39</v>
      </c>
      <c r="K123">
        <f>VLOOKUP(Shoe_Sales[[#This Row],[Product]],products!$A$1:$C$9,2,FALSE)</f>
        <v>76</v>
      </c>
      <c r="L123">
        <f>Shoe_Sales[[#This Row],[Cost Price]]*Shoe_Sales[[#This Row],[Quantity]]</f>
        <v>156</v>
      </c>
      <c r="M123">
        <f>Shoe_Sales[[#This Row],[Selling Price]]*Shoe_Sales[[#This Row],[Quantity]]</f>
        <v>304</v>
      </c>
      <c r="N123">
        <f>Shoe_Sales[[#This Row],[Revenue]]-Shoe_Sales[[#This Row],[Cost]]</f>
        <v>148</v>
      </c>
      <c r="O123" s="3">
        <f>Shoe_Sales[[#This Row],[Profit]]/Shoe_Sales[[#This Row],[Revenue]]</f>
        <v>0.48684210526315791</v>
      </c>
    </row>
    <row r="124" spans="1:15" x14ac:dyDescent="0.35">
      <c r="A124" s="2" t="s">
        <v>173</v>
      </c>
      <c r="B124" s="2">
        <v>46083</v>
      </c>
      <c r="C124" t="s">
        <v>13</v>
      </c>
      <c r="D124" t="s">
        <v>25</v>
      </c>
      <c r="E124" t="s">
        <v>11</v>
      </c>
      <c r="F124" t="s">
        <v>17</v>
      </c>
      <c r="G124" t="s">
        <v>30</v>
      </c>
      <c r="H124">
        <v>5</v>
      </c>
      <c r="I124" t="s">
        <v>47</v>
      </c>
      <c r="J124">
        <f>VLOOKUP(Shoe_Sales[[#This Row],[Product]],products!$A$1:$C$9,3,0)</f>
        <v>67</v>
      </c>
      <c r="K124">
        <f>VLOOKUP(Shoe_Sales[[#This Row],[Product]],products!$A$1:$C$9,2,FALSE)</f>
        <v>119</v>
      </c>
      <c r="L124">
        <f>Shoe_Sales[[#This Row],[Cost Price]]*Shoe_Sales[[#This Row],[Quantity]]</f>
        <v>335</v>
      </c>
      <c r="M124">
        <f>Shoe_Sales[[#This Row],[Selling Price]]*Shoe_Sales[[#This Row],[Quantity]]</f>
        <v>595</v>
      </c>
      <c r="N124">
        <f>Shoe_Sales[[#This Row],[Revenue]]-Shoe_Sales[[#This Row],[Cost]]</f>
        <v>260</v>
      </c>
      <c r="O124" s="3">
        <f>Shoe_Sales[[#This Row],[Profit]]/Shoe_Sales[[#This Row],[Revenue]]</f>
        <v>0.43697478991596639</v>
      </c>
    </row>
    <row r="125" spans="1:15" x14ac:dyDescent="0.35">
      <c r="A125" s="2" t="s">
        <v>174</v>
      </c>
      <c r="B125" s="2">
        <v>46084</v>
      </c>
      <c r="C125" t="s">
        <v>27</v>
      </c>
      <c r="D125" t="s">
        <v>10</v>
      </c>
      <c r="E125" t="s">
        <v>11</v>
      </c>
      <c r="F125" t="s">
        <v>35</v>
      </c>
      <c r="G125" t="s">
        <v>36</v>
      </c>
      <c r="H125">
        <v>11</v>
      </c>
      <c r="I125" t="s">
        <v>48</v>
      </c>
      <c r="J125">
        <f>VLOOKUP(Shoe_Sales[[#This Row],[Product]],products!$A$1:$C$9,3,0)</f>
        <v>14</v>
      </c>
      <c r="K125">
        <f>VLOOKUP(Shoe_Sales[[#This Row],[Product]],products!$A$1:$C$9,2,FALSE)</f>
        <v>32</v>
      </c>
      <c r="L125">
        <f>Shoe_Sales[[#This Row],[Cost Price]]*Shoe_Sales[[#This Row],[Quantity]]</f>
        <v>154</v>
      </c>
      <c r="M125">
        <f>Shoe_Sales[[#This Row],[Selling Price]]*Shoe_Sales[[#This Row],[Quantity]]</f>
        <v>352</v>
      </c>
      <c r="N125">
        <f>Shoe_Sales[[#This Row],[Revenue]]-Shoe_Sales[[#This Row],[Cost]]</f>
        <v>198</v>
      </c>
      <c r="O125" s="3">
        <f>Shoe_Sales[[#This Row],[Profit]]/Shoe_Sales[[#This Row],[Revenue]]</f>
        <v>0.5625</v>
      </c>
    </row>
    <row r="126" spans="1:15" x14ac:dyDescent="0.35">
      <c r="A126" s="2" t="s">
        <v>175</v>
      </c>
      <c r="B126" s="2">
        <v>46084</v>
      </c>
      <c r="C126" t="s">
        <v>33</v>
      </c>
      <c r="D126" t="s">
        <v>10</v>
      </c>
      <c r="E126" t="s">
        <v>16</v>
      </c>
      <c r="F126" t="s">
        <v>17</v>
      </c>
      <c r="G126" t="s">
        <v>34</v>
      </c>
      <c r="H126">
        <v>14</v>
      </c>
      <c r="I126" t="s">
        <v>46</v>
      </c>
      <c r="J126">
        <f>VLOOKUP(Shoe_Sales[[#This Row],[Product]],products!$A$1:$C$9,3,0)</f>
        <v>28</v>
      </c>
      <c r="K126">
        <f>VLOOKUP(Shoe_Sales[[#This Row],[Product]],products!$A$1:$C$9,2,FALSE)</f>
        <v>54</v>
      </c>
      <c r="L126">
        <f>Shoe_Sales[[#This Row],[Cost Price]]*Shoe_Sales[[#This Row],[Quantity]]</f>
        <v>392</v>
      </c>
      <c r="M126">
        <f>Shoe_Sales[[#This Row],[Selling Price]]*Shoe_Sales[[#This Row],[Quantity]]</f>
        <v>756</v>
      </c>
      <c r="N126">
        <f>Shoe_Sales[[#This Row],[Revenue]]-Shoe_Sales[[#This Row],[Cost]]</f>
        <v>364</v>
      </c>
      <c r="O126" s="3">
        <f>Shoe_Sales[[#This Row],[Profit]]/Shoe_Sales[[#This Row],[Revenue]]</f>
        <v>0.48148148148148145</v>
      </c>
    </row>
    <row r="127" spans="1:15" x14ac:dyDescent="0.35">
      <c r="A127" s="2" t="s">
        <v>176</v>
      </c>
      <c r="B127" s="2">
        <v>46085</v>
      </c>
      <c r="C127" t="s">
        <v>33</v>
      </c>
      <c r="D127" t="s">
        <v>25</v>
      </c>
      <c r="E127" t="s">
        <v>14</v>
      </c>
      <c r="F127" t="s">
        <v>29</v>
      </c>
      <c r="G127" t="s">
        <v>30</v>
      </c>
      <c r="H127">
        <v>8</v>
      </c>
      <c r="I127" t="s">
        <v>47</v>
      </c>
      <c r="J127">
        <f>VLOOKUP(Shoe_Sales[[#This Row],[Product]],products!$A$1:$C$9,3,0)</f>
        <v>28</v>
      </c>
      <c r="K127">
        <f>VLOOKUP(Shoe_Sales[[#This Row],[Product]],products!$A$1:$C$9,2,FALSE)</f>
        <v>54</v>
      </c>
      <c r="L127">
        <f>Shoe_Sales[[#This Row],[Cost Price]]*Shoe_Sales[[#This Row],[Quantity]]</f>
        <v>224</v>
      </c>
      <c r="M127">
        <f>Shoe_Sales[[#This Row],[Selling Price]]*Shoe_Sales[[#This Row],[Quantity]]</f>
        <v>432</v>
      </c>
      <c r="N127">
        <f>Shoe_Sales[[#This Row],[Revenue]]-Shoe_Sales[[#This Row],[Cost]]</f>
        <v>208</v>
      </c>
      <c r="O127" s="3">
        <f>Shoe_Sales[[#This Row],[Profit]]/Shoe_Sales[[#This Row],[Revenue]]</f>
        <v>0.48148148148148145</v>
      </c>
    </row>
    <row r="128" spans="1:15" x14ac:dyDescent="0.35">
      <c r="A128" s="2" t="s">
        <v>177</v>
      </c>
      <c r="B128" s="2">
        <v>46085</v>
      </c>
      <c r="C128" t="s">
        <v>42</v>
      </c>
      <c r="D128" t="s">
        <v>25</v>
      </c>
      <c r="E128" t="s">
        <v>20</v>
      </c>
      <c r="F128" t="s">
        <v>35</v>
      </c>
      <c r="G128" t="s">
        <v>15</v>
      </c>
      <c r="H128">
        <v>8</v>
      </c>
      <c r="I128" t="s">
        <v>47</v>
      </c>
      <c r="J128">
        <f>VLOOKUP(Shoe_Sales[[#This Row],[Product]],products!$A$1:$C$9,3,0)</f>
        <v>47</v>
      </c>
      <c r="K128">
        <f>VLOOKUP(Shoe_Sales[[#This Row],[Product]],products!$A$1:$C$9,2,FALSE)</f>
        <v>89</v>
      </c>
      <c r="L128">
        <f>Shoe_Sales[[#This Row],[Cost Price]]*Shoe_Sales[[#This Row],[Quantity]]</f>
        <v>376</v>
      </c>
      <c r="M128">
        <f>Shoe_Sales[[#This Row],[Selling Price]]*Shoe_Sales[[#This Row],[Quantity]]</f>
        <v>712</v>
      </c>
      <c r="N128">
        <f>Shoe_Sales[[#This Row],[Revenue]]-Shoe_Sales[[#This Row],[Cost]]</f>
        <v>336</v>
      </c>
      <c r="O128" s="3">
        <f>Shoe_Sales[[#This Row],[Profit]]/Shoe_Sales[[#This Row],[Revenue]]</f>
        <v>0.47191011235955055</v>
      </c>
    </row>
    <row r="129" spans="1:15" x14ac:dyDescent="0.35">
      <c r="A129" s="2" t="s">
        <v>178</v>
      </c>
      <c r="B129" s="2">
        <v>46086</v>
      </c>
      <c r="C129" t="s">
        <v>22</v>
      </c>
      <c r="D129" t="s">
        <v>10</v>
      </c>
      <c r="E129" t="s">
        <v>7</v>
      </c>
      <c r="F129" t="s">
        <v>40</v>
      </c>
      <c r="G129" t="s">
        <v>21</v>
      </c>
      <c r="H129">
        <v>11</v>
      </c>
      <c r="I129" t="s">
        <v>48</v>
      </c>
      <c r="J129">
        <f>VLOOKUP(Shoe_Sales[[#This Row],[Product]],products!$A$1:$C$9,3,0)</f>
        <v>58</v>
      </c>
      <c r="K129">
        <f>VLOOKUP(Shoe_Sales[[#This Row],[Product]],products!$A$1:$C$9,2,FALSE)</f>
        <v>105</v>
      </c>
      <c r="L129">
        <f>Shoe_Sales[[#This Row],[Cost Price]]*Shoe_Sales[[#This Row],[Quantity]]</f>
        <v>638</v>
      </c>
      <c r="M129">
        <f>Shoe_Sales[[#This Row],[Selling Price]]*Shoe_Sales[[#This Row],[Quantity]]</f>
        <v>1155</v>
      </c>
      <c r="N129">
        <f>Shoe_Sales[[#This Row],[Revenue]]-Shoe_Sales[[#This Row],[Cost]]</f>
        <v>517</v>
      </c>
      <c r="O129" s="3">
        <f>Shoe_Sales[[#This Row],[Profit]]/Shoe_Sales[[#This Row],[Revenue]]</f>
        <v>0.44761904761904764</v>
      </c>
    </row>
    <row r="130" spans="1:15" x14ac:dyDescent="0.35">
      <c r="A130" s="2" t="s">
        <v>179</v>
      </c>
      <c r="B130" s="2">
        <v>46086</v>
      </c>
      <c r="C130" t="s">
        <v>13</v>
      </c>
      <c r="D130" t="s">
        <v>25</v>
      </c>
      <c r="E130" t="s">
        <v>11</v>
      </c>
      <c r="F130" t="s">
        <v>8</v>
      </c>
      <c r="G130" t="s">
        <v>34</v>
      </c>
      <c r="H130">
        <v>3</v>
      </c>
      <c r="I130" t="s">
        <v>48</v>
      </c>
      <c r="J130">
        <f>VLOOKUP(Shoe_Sales[[#This Row],[Product]],products!$A$1:$C$9,3,0)</f>
        <v>67</v>
      </c>
      <c r="K130">
        <f>VLOOKUP(Shoe_Sales[[#This Row],[Product]],products!$A$1:$C$9,2,FALSE)</f>
        <v>119</v>
      </c>
      <c r="L130">
        <f>Shoe_Sales[[#This Row],[Cost Price]]*Shoe_Sales[[#This Row],[Quantity]]</f>
        <v>201</v>
      </c>
      <c r="M130">
        <f>Shoe_Sales[[#This Row],[Selling Price]]*Shoe_Sales[[#This Row],[Quantity]]</f>
        <v>357</v>
      </c>
      <c r="N130">
        <f>Shoe_Sales[[#This Row],[Revenue]]-Shoe_Sales[[#This Row],[Cost]]</f>
        <v>156</v>
      </c>
      <c r="O130" s="3">
        <f>Shoe_Sales[[#This Row],[Profit]]/Shoe_Sales[[#This Row],[Revenue]]</f>
        <v>0.43697478991596639</v>
      </c>
    </row>
    <row r="131" spans="1:15" x14ac:dyDescent="0.35">
      <c r="A131" s="2" t="s">
        <v>180</v>
      </c>
      <c r="B131" s="2">
        <v>46086</v>
      </c>
      <c r="C131" t="s">
        <v>42</v>
      </c>
      <c r="D131" t="s">
        <v>25</v>
      </c>
      <c r="E131" t="s">
        <v>7</v>
      </c>
      <c r="F131" t="s">
        <v>17</v>
      </c>
      <c r="G131" t="s">
        <v>12</v>
      </c>
      <c r="H131">
        <v>4</v>
      </c>
      <c r="I131" t="s">
        <v>46</v>
      </c>
      <c r="J131">
        <f>VLOOKUP(Shoe_Sales[[#This Row],[Product]],products!$A$1:$C$9,3,0)</f>
        <v>47</v>
      </c>
      <c r="K131">
        <f>VLOOKUP(Shoe_Sales[[#This Row],[Product]],products!$A$1:$C$9,2,FALSE)</f>
        <v>89</v>
      </c>
      <c r="L131">
        <f>Shoe_Sales[[#This Row],[Cost Price]]*Shoe_Sales[[#This Row],[Quantity]]</f>
        <v>188</v>
      </c>
      <c r="M131">
        <f>Shoe_Sales[[#This Row],[Selling Price]]*Shoe_Sales[[#This Row],[Quantity]]</f>
        <v>356</v>
      </c>
      <c r="N131">
        <f>Shoe_Sales[[#This Row],[Revenue]]-Shoe_Sales[[#This Row],[Cost]]</f>
        <v>168</v>
      </c>
      <c r="O131" s="3">
        <f>Shoe_Sales[[#This Row],[Profit]]/Shoe_Sales[[#This Row],[Revenue]]</f>
        <v>0.47191011235955055</v>
      </c>
    </row>
    <row r="132" spans="1:15" x14ac:dyDescent="0.35">
      <c r="A132" s="2" t="s">
        <v>181</v>
      </c>
      <c r="B132" s="2">
        <v>46086</v>
      </c>
      <c r="C132" t="s">
        <v>38</v>
      </c>
      <c r="D132" t="s">
        <v>31</v>
      </c>
      <c r="E132" t="s">
        <v>14</v>
      </c>
      <c r="F132" t="s">
        <v>35</v>
      </c>
      <c r="G132" t="s">
        <v>26</v>
      </c>
      <c r="H132">
        <v>7</v>
      </c>
      <c r="I132" t="s">
        <v>47</v>
      </c>
      <c r="J132">
        <f>VLOOKUP(Shoe_Sales[[#This Row],[Product]],products!$A$1:$C$9,3,0)</f>
        <v>64</v>
      </c>
      <c r="K132">
        <f>VLOOKUP(Shoe_Sales[[#This Row],[Product]],products!$A$1:$C$9,2,FALSE)</f>
        <v>112</v>
      </c>
      <c r="L132">
        <f>Shoe_Sales[[#This Row],[Cost Price]]*Shoe_Sales[[#This Row],[Quantity]]</f>
        <v>448</v>
      </c>
      <c r="M132">
        <f>Shoe_Sales[[#This Row],[Selling Price]]*Shoe_Sales[[#This Row],[Quantity]]</f>
        <v>784</v>
      </c>
      <c r="N132">
        <f>Shoe_Sales[[#This Row],[Revenue]]-Shoe_Sales[[#This Row],[Cost]]</f>
        <v>336</v>
      </c>
      <c r="O132" s="3">
        <f>Shoe_Sales[[#This Row],[Profit]]/Shoe_Sales[[#This Row],[Revenue]]</f>
        <v>0.42857142857142855</v>
      </c>
    </row>
    <row r="133" spans="1:15" x14ac:dyDescent="0.35">
      <c r="A133" s="2" t="s">
        <v>182</v>
      </c>
      <c r="B133" s="2">
        <v>46086</v>
      </c>
      <c r="C133" t="s">
        <v>41</v>
      </c>
      <c r="D133" t="s">
        <v>10</v>
      </c>
      <c r="E133" t="s">
        <v>20</v>
      </c>
      <c r="F133" t="s">
        <v>35</v>
      </c>
      <c r="G133" t="s">
        <v>23</v>
      </c>
      <c r="H133">
        <v>10</v>
      </c>
      <c r="I133" t="s">
        <v>48</v>
      </c>
      <c r="J133">
        <f>VLOOKUP(Shoe_Sales[[#This Row],[Product]],products!$A$1:$C$9,3,0)</f>
        <v>39</v>
      </c>
      <c r="K133">
        <f>VLOOKUP(Shoe_Sales[[#This Row],[Product]],products!$A$1:$C$9,2,FALSE)</f>
        <v>76</v>
      </c>
      <c r="L133">
        <f>Shoe_Sales[[#This Row],[Cost Price]]*Shoe_Sales[[#This Row],[Quantity]]</f>
        <v>390</v>
      </c>
      <c r="M133">
        <f>Shoe_Sales[[#This Row],[Selling Price]]*Shoe_Sales[[#This Row],[Quantity]]</f>
        <v>760</v>
      </c>
      <c r="N133">
        <f>Shoe_Sales[[#This Row],[Revenue]]-Shoe_Sales[[#This Row],[Cost]]</f>
        <v>370</v>
      </c>
      <c r="O133" s="3">
        <f>Shoe_Sales[[#This Row],[Profit]]/Shoe_Sales[[#This Row],[Revenue]]</f>
        <v>0.48684210526315791</v>
      </c>
    </row>
    <row r="134" spans="1:15" x14ac:dyDescent="0.35">
      <c r="A134" s="2" t="s">
        <v>183</v>
      </c>
      <c r="B134" s="2">
        <v>46087</v>
      </c>
      <c r="C134" t="s">
        <v>13</v>
      </c>
      <c r="D134" t="s">
        <v>25</v>
      </c>
      <c r="E134" t="s">
        <v>20</v>
      </c>
      <c r="F134" t="s">
        <v>8</v>
      </c>
      <c r="G134" t="s">
        <v>28</v>
      </c>
      <c r="H134">
        <v>8</v>
      </c>
      <c r="I134" t="s">
        <v>46</v>
      </c>
      <c r="J134">
        <f>VLOOKUP(Shoe_Sales[[#This Row],[Product]],products!$A$1:$C$9,3,0)</f>
        <v>67</v>
      </c>
      <c r="K134">
        <f>VLOOKUP(Shoe_Sales[[#This Row],[Product]],products!$A$1:$C$9,2,FALSE)</f>
        <v>119</v>
      </c>
      <c r="L134">
        <f>Shoe_Sales[[#This Row],[Cost Price]]*Shoe_Sales[[#This Row],[Quantity]]</f>
        <v>536</v>
      </c>
      <c r="M134">
        <f>Shoe_Sales[[#This Row],[Selling Price]]*Shoe_Sales[[#This Row],[Quantity]]</f>
        <v>952</v>
      </c>
      <c r="N134">
        <f>Shoe_Sales[[#This Row],[Revenue]]-Shoe_Sales[[#This Row],[Cost]]</f>
        <v>416</v>
      </c>
      <c r="O134" s="3">
        <f>Shoe_Sales[[#This Row],[Profit]]/Shoe_Sales[[#This Row],[Revenue]]</f>
        <v>0.43697478991596639</v>
      </c>
    </row>
    <row r="135" spans="1:15" x14ac:dyDescent="0.35">
      <c r="A135" s="2" t="s">
        <v>184</v>
      </c>
      <c r="B135" s="2">
        <v>46087</v>
      </c>
      <c r="C135" t="s">
        <v>33</v>
      </c>
      <c r="D135" t="s">
        <v>25</v>
      </c>
      <c r="E135" t="s">
        <v>16</v>
      </c>
      <c r="F135" t="s">
        <v>29</v>
      </c>
      <c r="G135" t="s">
        <v>24</v>
      </c>
      <c r="H135">
        <v>12</v>
      </c>
      <c r="I135" t="s">
        <v>45</v>
      </c>
      <c r="J135">
        <f>VLOOKUP(Shoe_Sales[[#This Row],[Product]],products!$A$1:$C$9,3,0)</f>
        <v>28</v>
      </c>
      <c r="K135">
        <f>VLOOKUP(Shoe_Sales[[#This Row],[Product]],products!$A$1:$C$9,2,FALSE)</f>
        <v>54</v>
      </c>
      <c r="L135">
        <f>Shoe_Sales[[#This Row],[Cost Price]]*Shoe_Sales[[#This Row],[Quantity]]</f>
        <v>336</v>
      </c>
      <c r="M135">
        <f>Shoe_Sales[[#This Row],[Selling Price]]*Shoe_Sales[[#This Row],[Quantity]]</f>
        <v>648</v>
      </c>
      <c r="N135">
        <f>Shoe_Sales[[#This Row],[Revenue]]-Shoe_Sales[[#This Row],[Cost]]</f>
        <v>312</v>
      </c>
      <c r="O135" s="3">
        <f>Shoe_Sales[[#This Row],[Profit]]/Shoe_Sales[[#This Row],[Revenue]]</f>
        <v>0.48148148148148145</v>
      </c>
    </row>
    <row r="136" spans="1:15" x14ac:dyDescent="0.35">
      <c r="A136" s="2" t="s">
        <v>185</v>
      </c>
      <c r="B136" s="2">
        <v>46088</v>
      </c>
      <c r="C136" t="s">
        <v>22</v>
      </c>
      <c r="D136" t="s">
        <v>19</v>
      </c>
      <c r="E136" t="s">
        <v>14</v>
      </c>
      <c r="F136" t="s">
        <v>8</v>
      </c>
      <c r="G136" t="s">
        <v>21</v>
      </c>
      <c r="H136">
        <v>3</v>
      </c>
      <c r="I136" t="s">
        <v>47</v>
      </c>
      <c r="J136">
        <f>VLOOKUP(Shoe_Sales[[#This Row],[Product]],products!$A$1:$C$9,3,0)</f>
        <v>58</v>
      </c>
      <c r="K136">
        <f>VLOOKUP(Shoe_Sales[[#This Row],[Product]],products!$A$1:$C$9,2,FALSE)</f>
        <v>105</v>
      </c>
      <c r="L136">
        <f>Shoe_Sales[[#This Row],[Cost Price]]*Shoe_Sales[[#This Row],[Quantity]]</f>
        <v>174</v>
      </c>
      <c r="M136">
        <f>Shoe_Sales[[#This Row],[Selling Price]]*Shoe_Sales[[#This Row],[Quantity]]</f>
        <v>315</v>
      </c>
      <c r="N136">
        <f>Shoe_Sales[[#This Row],[Revenue]]-Shoe_Sales[[#This Row],[Cost]]</f>
        <v>141</v>
      </c>
      <c r="O136" s="3">
        <f>Shoe_Sales[[#This Row],[Profit]]/Shoe_Sales[[#This Row],[Revenue]]</f>
        <v>0.44761904761904764</v>
      </c>
    </row>
    <row r="137" spans="1:15" x14ac:dyDescent="0.35">
      <c r="A137" s="2" t="s">
        <v>186</v>
      </c>
      <c r="B137" s="2">
        <v>46089</v>
      </c>
      <c r="C137" t="s">
        <v>41</v>
      </c>
      <c r="D137" t="s">
        <v>31</v>
      </c>
      <c r="E137" t="s">
        <v>7</v>
      </c>
      <c r="F137" t="s">
        <v>29</v>
      </c>
      <c r="G137" t="s">
        <v>28</v>
      </c>
      <c r="H137">
        <v>6</v>
      </c>
      <c r="I137" t="s">
        <v>45</v>
      </c>
      <c r="J137">
        <f>VLOOKUP(Shoe_Sales[[#This Row],[Product]],products!$A$1:$C$9,3,0)</f>
        <v>39</v>
      </c>
      <c r="K137">
        <f>VLOOKUP(Shoe_Sales[[#This Row],[Product]],products!$A$1:$C$9,2,FALSE)</f>
        <v>76</v>
      </c>
      <c r="L137">
        <f>Shoe_Sales[[#This Row],[Cost Price]]*Shoe_Sales[[#This Row],[Quantity]]</f>
        <v>234</v>
      </c>
      <c r="M137">
        <f>Shoe_Sales[[#This Row],[Selling Price]]*Shoe_Sales[[#This Row],[Quantity]]</f>
        <v>456</v>
      </c>
      <c r="N137">
        <f>Shoe_Sales[[#This Row],[Revenue]]-Shoe_Sales[[#This Row],[Cost]]</f>
        <v>222</v>
      </c>
      <c r="O137" s="3">
        <f>Shoe_Sales[[#This Row],[Profit]]/Shoe_Sales[[#This Row],[Revenue]]</f>
        <v>0.48684210526315791</v>
      </c>
    </row>
    <row r="138" spans="1:15" x14ac:dyDescent="0.35">
      <c r="A138" s="2" t="s">
        <v>187</v>
      </c>
      <c r="B138" s="2">
        <v>46089</v>
      </c>
      <c r="C138" t="s">
        <v>39</v>
      </c>
      <c r="D138" t="s">
        <v>25</v>
      </c>
      <c r="E138" t="s">
        <v>16</v>
      </c>
      <c r="F138" t="s">
        <v>35</v>
      </c>
      <c r="G138" t="s">
        <v>32</v>
      </c>
      <c r="H138">
        <v>3</v>
      </c>
      <c r="I138" t="s">
        <v>47</v>
      </c>
      <c r="J138">
        <f>VLOOKUP(Shoe_Sales[[#This Row],[Product]],products!$A$1:$C$9,3,0)</f>
        <v>72</v>
      </c>
      <c r="K138">
        <f>VLOOKUP(Shoe_Sales[[#This Row],[Product]],products!$A$1:$C$9,2,FALSE)</f>
        <v>128</v>
      </c>
      <c r="L138">
        <f>Shoe_Sales[[#This Row],[Cost Price]]*Shoe_Sales[[#This Row],[Quantity]]</f>
        <v>216</v>
      </c>
      <c r="M138">
        <f>Shoe_Sales[[#This Row],[Selling Price]]*Shoe_Sales[[#This Row],[Quantity]]</f>
        <v>384</v>
      </c>
      <c r="N138">
        <f>Shoe_Sales[[#This Row],[Revenue]]-Shoe_Sales[[#This Row],[Cost]]</f>
        <v>168</v>
      </c>
      <c r="O138" s="3">
        <f>Shoe_Sales[[#This Row],[Profit]]/Shoe_Sales[[#This Row],[Revenue]]</f>
        <v>0.4375</v>
      </c>
    </row>
    <row r="139" spans="1:15" x14ac:dyDescent="0.35">
      <c r="A139" s="2" t="s">
        <v>188</v>
      </c>
      <c r="B139" s="2">
        <v>46089</v>
      </c>
      <c r="C139" t="s">
        <v>41</v>
      </c>
      <c r="D139" t="s">
        <v>25</v>
      </c>
      <c r="E139" t="s">
        <v>11</v>
      </c>
      <c r="F139" t="s">
        <v>17</v>
      </c>
      <c r="G139" t="s">
        <v>18</v>
      </c>
      <c r="H139">
        <v>5</v>
      </c>
      <c r="I139" t="s">
        <v>46</v>
      </c>
      <c r="J139">
        <f>VLOOKUP(Shoe_Sales[[#This Row],[Product]],products!$A$1:$C$9,3,0)</f>
        <v>39</v>
      </c>
      <c r="K139">
        <f>VLOOKUP(Shoe_Sales[[#This Row],[Product]],products!$A$1:$C$9,2,FALSE)</f>
        <v>76</v>
      </c>
      <c r="L139">
        <f>Shoe_Sales[[#This Row],[Cost Price]]*Shoe_Sales[[#This Row],[Quantity]]</f>
        <v>195</v>
      </c>
      <c r="M139">
        <f>Shoe_Sales[[#This Row],[Selling Price]]*Shoe_Sales[[#This Row],[Quantity]]</f>
        <v>380</v>
      </c>
      <c r="N139">
        <f>Shoe_Sales[[#This Row],[Revenue]]-Shoe_Sales[[#This Row],[Cost]]</f>
        <v>185</v>
      </c>
      <c r="O139" s="3">
        <f>Shoe_Sales[[#This Row],[Profit]]/Shoe_Sales[[#This Row],[Revenue]]</f>
        <v>0.48684210526315791</v>
      </c>
    </row>
    <row r="140" spans="1:15" x14ac:dyDescent="0.35">
      <c r="A140" s="2" t="s">
        <v>189</v>
      </c>
      <c r="B140" s="2">
        <v>46090</v>
      </c>
      <c r="C140" t="s">
        <v>38</v>
      </c>
      <c r="D140" t="s">
        <v>25</v>
      </c>
      <c r="E140" t="s">
        <v>16</v>
      </c>
      <c r="F140" t="s">
        <v>17</v>
      </c>
      <c r="G140" t="s">
        <v>18</v>
      </c>
      <c r="H140">
        <v>2</v>
      </c>
      <c r="I140" t="s">
        <v>46</v>
      </c>
      <c r="J140">
        <f>VLOOKUP(Shoe_Sales[[#This Row],[Product]],products!$A$1:$C$9,3,0)</f>
        <v>64</v>
      </c>
      <c r="K140">
        <f>VLOOKUP(Shoe_Sales[[#This Row],[Product]],products!$A$1:$C$9,2,FALSE)</f>
        <v>112</v>
      </c>
      <c r="L140">
        <f>Shoe_Sales[[#This Row],[Cost Price]]*Shoe_Sales[[#This Row],[Quantity]]</f>
        <v>128</v>
      </c>
      <c r="M140">
        <f>Shoe_Sales[[#This Row],[Selling Price]]*Shoe_Sales[[#This Row],[Quantity]]</f>
        <v>224</v>
      </c>
      <c r="N140">
        <f>Shoe_Sales[[#This Row],[Revenue]]-Shoe_Sales[[#This Row],[Cost]]</f>
        <v>96</v>
      </c>
      <c r="O140" s="3">
        <f>Shoe_Sales[[#This Row],[Profit]]/Shoe_Sales[[#This Row],[Revenue]]</f>
        <v>0.42857142857142855</v>
      </c>
    </row>
    <row r="141" spans="1:15" x14ac:dyDescent="0.35">
      <c r="A141" s="2" t="s">
        <v>190</v>
      </c>
      <c r="B141" s="2">
        <v>46090</v>
      </c>
      <c r="C141" t="s">
        <v>38</v>
      </c>
      <c r="D141" t="s">
        <v>25</v>
      </c>
      <c r="E141" t="s">
        <v>16</v>
      </c>
      <c r="F141" t="s">
        <v>8</v>
      </c>
      <c r="G141" t="s">
        <v>21</v>
      </c>
      <c r="H141">
        <v>7</v>
      </c>
      <c r="I141" t="s">
        <v>47</v>
      </c>
      <c r="J141">
        <f>VLOOKUP(Shoe_Sales[[#This Row],[Product]],products!$A$1:$C$9,3,0)</f>
        <v>64</v>
      </c>
      <c r="K141">
        <f>VLOOKUP(Shoe_Sales[[#This Row],[Product]],products!$A$1:$C$9,2,FALSE)</f>
        <v>112</v>
      </c>
      <c r="L141">
        <f>Shoe_Sales[[#This Row],[Cost Price]]*Shoe_Sales[[#This Row],[Quantity]]</f>
        <v>448</v>
      </c>
      <c r="M141">
        <f>Shoe_Sales[[#This Row],[Selling Price]]*Shoe_Sales[[#This Row],[Quantity]]</f>
        <v>784</v>
      </c>
      <c r="N141">
        <f>Shoe_Sales[[#This Row],[Revenue]]-Shoe_Sales[[#This Row],[Cost]]</f>
        <v>336</v>
      </c>
      <c r="O141" s="3">
        <f>Shoe_Sales[[#This Row],[Profit]]/Shoe_Sales[[#This Row],[Revenue]]</f>
        <v>0.42857142857142855</v>
      </c>
    </row>
    <row r="142" spans="1:15" x14ac:dyDescent="0.35">
      <c r="A142" s="2" t="s">
        <v>191</v>
      </c>
      <c r="B142" s="2">
        <v>46090</v>
      </c>
      <c r="C142" t="s">
        <v>39</v>
      </c>
      <c r="D142" t="s">
        <v>10</v>
      </c>
      <c r="E142" t="s">
        <v>11</v>
      </c>
      <c r="F142" t="s">
        <v>17</v>
      </c>
      <c r="G142" t="s">
        <v>37</v>
      </c>
      <c r="H142">
        <v>10</v>
      </c>
      <c r="I142" t="s">
        <v>45</v>
      </c>
      <c r="J142">
        <f>VLOOKUP(Shoe_Sales[[#This Row],[Product]],products!$A$1:$C$9,3,0)</f>
        <v>72</v>
      </c>
      <c r="K142">
        <f>VLOOKUP(Shoe_Sales[[#This Row],[Product]],products!$A$1:$C$9,2,FALSE)</f>
        <v>128</v>
      </c>
      <c r="L142">
        <f>Shoe_Sales[[#This Row],[Cost Price]]*Shoe_Sales[[#This Row],[Quantity]]</f>
        <v>720</v>
      </c>
      <c r="M142">
        <f>Shoe_Sales[[#This Row],[Selling Price]]*Shoe_Sales[[#This Row],[Quantity]]</f>
        <v>1280</v>
      </c>
      <c r="N142">
        <f>Shoe_Sales[[#This Row],[Revenue]]-Shoe_Sales[[#This Row],[Cost]]</f>
        <v>560</v>
      </c>
      <c r="O142" s="3">
        <f>Shoe_Sales[[#This Row],[Profit]]/Shoe_Sales[[#This Row],[Revenue]]</f>
        <v>0.4375</v>
      </c>
    </row>
    <row r="143" spans="1:15" x14ac:dyDescent="0.35">
      <c r="A143" s="2" t="s">
        <v>192</v>
      </c>
      <c r="B143" s="2">
        <v>46090</v>
      </c>
      <c r="C143" t="s">
        <v>33</v>
      </c>
      <c r="D143" t="s">
        <v>10</v>
      </c>
      <c r="E143" t="s">
        <v>20</v>
      </c>
      <c r="F143" t="s">
        <v>35</v>
      </c>
      <c r="G143" t="s">
        <v>37</v>
      </c>
      <c r="H143">
        <v>6</v>
      </c>
      <c r="I143" t="s">
        <v>45</v>
      </c>
      <c r="J143">
        <f>VLOOKUP(Shoe_Sales[[#This Row],[Product]],products!$A$1:$C$9,3,0)</f>
        <v>28</v>
      </c>
      <c r="K143">
        <f>VLOOKUP(Shoe_Sales[[#This Row],[Product]],products!$A$1:$C$9,2,FALSE)</f>
        <v>54</v>
      </c>
      <c r="L143">
        <f>Shoe_Sales[[#This Row],[Cost Price]]*Shoe_Sales[[#This Row],[Quantity]]</f>
        <v>168</v>
      </c>
      <c r="M143">
        <f>Shoe_Sales[[#This Row],[Selling Price]]*Shoe_Sales[[#This Row],[Quantity]]</f>
        <v>324</v>
      </c>
      <c r="N143">
        <f>Shoe_Sales[[#This Row],[Revenue]]-Shoe_Sales[[#This Row],[Cost]]</f>
        <v>156</v>
      </c>
      <c r="O143" s="3">
        <f>Shoe_Sales[[#This Row],[Profit]]/Shoe_Sales[[#This Row],[Revenue]]</f>
        <v>0.48148148148148145</v>
      </c>
    </row>
    <row r="144" spans="1:15" x14ac:dyDescent="0.35">
      <c r="A144" s="2" t="s">
        <v>193</v>
      </c>
      <c r="B144" s="2">
        <v>46090</v>
      </c>
      <c r="C144" t="s">
        <v>27</v>
      </c>
      <c r="D144" t="s">
        <v>19</v>
      </c>
      <c r="E144" t="s">
        <v>16</v>
      </c>
      <c r="F144" t="s">
        <v>40</v>
      </c>
      <c r="G144" t="s">
        <v>28</v>
      </c>
      <c r="H144">
        <v>11</v>
      </c>
      <c r="I144" t="s">
        <v>47</v>
      </c>
      <c r="J144">
        <f>VLOOKUP(Shoe_Sales[[#This Row],[Product]],products!$A$1:$C$9,3,0)</f>
        <v>14</v>
      </c>
      <c r="K144">
        <f>VLOOKUP(Shoe_Sales[[#This Row],[Product]],products!$A$1:$C$9,2,FALSE)</f>
        <v>32</v>
      </c>
      <c r="L144">
        <f>Shoe_Sales[[#This Row],[Cost Price]]*Shoe_Sales[[#This Row],[Quantity]]</f>
        <v>154</v>
      </c>
      <c r="M144">
        <f>Shoe_Sales[[#This Row],[Selling Price]]*Shoe_Sales[[#This Row],[Quantity]]</f>
        <v>352</v>
      </c>
      <c r="N144">
        <f>Shoe_Sales[[#This Row],[Revenue]]-Shoe_Sales[[#This Row],[Cost]]</f>
        <v>198</v>
      </c>
      <c r="O144" s="3">
        <f>Shoe_Sales[[#This Row],[Profit]]/Shoe_Sales[[#This Row],[Revenue]]</f>
        <v>0.5625</v>
      </c>
    </row>
    <row r="145" spans="1:15" x14ac:dyDescent="0.35">
      <c r="A145" s="2" t="s">
        <v>194</v>
      </c>
      <c r="B145" s="2">
        <v>46090</v>
      </c>
      <c r="C145" t="s">
        <v>33</v>
      </c>
      <c r="D145" t="s">
        <v>19</v>
      </c>
      <c r="E145" t="s">
        <v>7</v>
      </c>
      <c r="F145" t="s">
        <v>8</v>
      </c>
      <c r="G145" t="s">
        <v>15</v>
      </c>
      <c r="H145">
        <v>7</v>
      </c>
      <c r="I145" t="s">
        <v>46</v>
      </c>
      <c r="J145">
        <f>VLOOKUP(Shoe_Sales[[#This Row],[Product]],products!$A$1:$C$9,3,0)</f>
        <v>28</v>
      </c>
      <c r="K145">
        <f>VLOOKUP(Shoe_Sales[[#This Row],[Product]],products!$A$1:$C$9,2,FALSE)</f>
        <v>54</v>
      </c>
      <c r="L145">
        <f>Shoe_Sales[[#This Row],[Cost Price]]*Shoe_Sales[[#This Row],[Quantity]]</f>
        <v>196</v>
      </c>
      <c r="M145">
        <f>Shoe_Sales[[#This Row],[Selling Price]]*Shoe_Sales[[#This Row],[Quantity]]</f>
        <v>378</v>
      </c>
      <c r="N145">
        <f>Shoe_Sales[[#This Row],[Revenue]]-Shoe_Sales[[#This Row],[Cost]]</f>
        <v>182</v>
      </c>
      <c r="O145" s="3">
        <f>Shoe_Sales[[#This Row],[Profit]]/Shoe_Sales[[#This Row],[Revenue]]</f>
        <v>0.48148148148148145</v>
      </c>
    </row>
    <row r="146" spans="1:15" x14ac:dyDescent="0.35">
      <c r="A146" s="2" t="s">
        <v>195</v>
      </c>
      <c r="B146" s="2">
        <v>46090</v>
      </c>
      <c r="C146" t="s">
        <v>27</v>
      </c>
      <c r="D146" t="s">
        <v>19</v>
      </c>
      <c r="E146" t="s">
        <v>7</v>
      </c>
      <c r="F146" t="s">
        <v>29</v>
      </c>
      <c r="G146" t="s">
        <v>15</v>
      </c>
      <c r="H146">
        <v>8</v>
      </c>
      <c r="I146" t="s">
        <v>46</v>
      </c>
      <c r="J146">
        <f>VLOOKUP(Shoe_Sales[[#This Row],[Product]],products!$A$1:$C$9,3,0)</f>
        <v>14</v>
      </c>
      <c r="K146">
        <f>VLOOKUP(Shoe_Sales[[#This Row],[Product]],products!$A$1:$C$9,2,FALSE)</f>
        <v>32</v>
      </c>
      <c r="L146">
        <f>Shoe_Sales[[#This Row],[Cost Price]]*Shoe_Sales[[#This Row],[Quantity]]</f>
        <v>112</v>
      </c>
      <c r="M146">
        <f>Shoe_Sales[[#This Row],[Selling Price]]*Shoe_Sales[[#This Row],[Quantity]]</f>
        <v>256</v>
      </c>
      <c r="N146">
        <f>Shoe_Sales[[#This Row],[Revenue]]-Shoe_Sales[[#This Row],[Cost]]</f>
        <v>144</v>
      </c>
      <c r="O146" s="3">
        <f>Shoe_Sales[[#This Row],[Profit]]/Shoe_Sales[[#This Row],[Revenue]]</f>
        <v>0.5625</v>
      </c>
    </row>
    <row r="147" spans="1:15" x14ac:dyDescent="0.35">
      <c r="A147" s="2" t="s">
        <v>196</v>
      </c>
      <c r="B147" s="2">
        <v>46091</v>
      </c>
      <c r="C147" t="s">
        <v>22</v>
      </c>
      <c r="D147" t="s">
        <v>25</v>
      </c>
      <c r="E147" t="s">
        <v>11</v>
      </c>
      <c r="F147" t="s">
        <v>17</v>
      </c>
      <c r="G147" t="s">
        <v>34</v>
      </c>
      <c r="H147">
        <v>9</v>
      </c>
      <c r="I147" t="s">
        <v>48</v>
      </c>
      <c r="J147">
        <f>VLOOKUP(Shoe_Sales[[#This Row],[Product]],products!$A$1:$C$9,3,0)</f>
        <v>58</v>
      </c>
      <c r="K147">
        <f>VLOOKUP(Shoe_Sales[[#This Row],[Product]],products!$A$1:$C$9,2,FALSE)</f>
        <v>105</v>
      </c>
      <c r="L147">
        <f>Shoe_Sales[[#This Row],[Cost Price]]*Shoe_Sales[[#This Row],[Quantity]]</f>
        <v>522</v>
      </c>
      <c r="M147">
        <f>Shoe_Sales[[#This Row],[Selling Price]]*Shoe_Sales[[#This Row],[Quantity]]</f>
        <v>945</v>
      </c>
      <c r="N147">
        <f>Shoe_Sales[[#This Row],[Revenue]]-Shoe_Sales[[#This Row],[Cost]]</f>
        <v>423</v>
      </c>
      <c r="O147" s="3">
        <f>Shoe_Sales[[#This Row],[Profit]]/Shoe_Sales[[#This Row],[Revenue]]</f>
        <v>0.44761904761904764</v>
      </c>
    </row>
    <row r="148" spans="1:15" x14ac:dyDescent="0.35">
      <c r="A148" s="2" t="s">
        <v>197</v>
      </c>
      <c r="B148" s="2">
        <v>46091</v>
      </c>
      <c r="C148" t="s">
        <v>33</v>
      </c>
      <c r="D148" t="s">
        <v>10</v>
      </c>
      <c r="E148" t="s">
        <v>20</v>
      </c>
      <c r="F148" t="s">
        <v>8</v>
      </c>
      <c r="G148" t="s">
        <v>37</v>
      </c>
      <c r="H148">
        <v>8</v>
      </c>
      <c r="I148" t="s">
        <v>45</v>
      </c>
      <c r="J148">
        <f>VLOOKUP(Shoe_Sales[[#This Row],[Product]],products!$A$1:$C$9,3,0)</f>
        <v>28</v>
      </c>
      <c r="K148">
        <f>VLOOKUP(Shoe_Sales[[#This Row],[Product]],products!$A$1:$C$9,2,FALSE)</f>
        <v>54</v>
      </c>
      <c r="L148">
        <f>Shoe_Sales[[#This Row],[Cost Price]]*Shoe_Sales[[#This Row],[Quantity]]</f>
        <v>224</v>
      </c>
      <c r="M148">
        <f>Shoe_Sales[[#This Row],[Selling Price]]*Shoe_Sales[[#This Row],[Quantity]]</f>
        <v>432</v>
      </c>
      <c r="N148">
        <f>Shoe_Sales[[#This Row],[Revenue]]-Shoe_Sales[[#This Row],[Cost]]</f>
        <v>208</v>
      </c>
      <c r="O148" s="3">
        <f>Shoe_Sales[[#This Row],[Profit]]/Shoe_Sales[[#This Row],[Revenue]]</f>
        <v>0.48148148148148145</v>
      </c>
    </row>
    <row r="149" spans="1:15" x14ac:dyDescent="0.35">
      <c r="A149" s="2" t="s">
        <v>198</v>
      </c>
      <c r="B149" s="2">
        <v>46091</v>
      </c>
      <c r="C149" t="s">
        <v>41</v>
      </c>
      <c r="D149" t="s">
        <v>25</v>
      </c>
      <c r="E149" t="s">
        <v>11</v>
      </c>
      <c r="F149" t="s">
        <v>17</v>
      </c>
      <c r="G149" t="s">
        <v>21</v>
      </c>
      <c r="H149">
        <v>6</v>
      </c>
      <c r="I149" t="s">
        <v>47</v>
      </c>
      <c r="J149">
        <f>VLOOKUP(Shoe_Sales[[#This Row],[Product]],products!$A$1:$C$9,3,0)</f>
        <v>39</v>
      </c>
      <c r="K149">
        <f>VLOOKUP(Shoe_Sales[[#This Row],[Product]],products!$A$1:$C$9,2,FALSE)</f>
        <v>76</v>
      </c>
      <c r="L149">
        <f>Shoe_Sales[[#This Row],[Cost Price]]*Shoe_Sales[[#This Row],[Quantity]]</f>
        <v>234</v>
      </c>
      <c r="M149">
        <f>Shoe_Sales[[#This Row],[Selling Price]]*Shoe_Sales[[#This Row],[Quantity]]</f>
        <v>456</v>
      </c>
      <c r="N149">
        <f>Shoe_Sales[[#This Row],[Revenue]]-Shoe_Sales[[#This Row],[Cost]]</f>
        <v>222</v>
      </c>
      <c r="O149" s="3">
        <f>Shoe_Sales[[#This Row],[Profit]]/Shoe_Sales[[#This Row],[Revenue]]</f>
        <v>0.48684210526315791</v>
      </c>
    </row>
    <row r="150" spans="1:15" x14ac:dyDescent="0.35">
      <c r="A150" s="2" t="s">
        <v>199</v>
      </c>
      <c r="B150" s="2">
        <v>46091</v>
      </c>
      <c r="C150" t="s">
        <v>22</v>
      </c>
      <c r="D150" t="s">
        <v>25</v>
      </c>
      <c r="E150" t="s">
        <v>7</v>
      </c>
      <c r="F150" t="s">
        <v>35</v>
      </c>
      <c r="G150" t="s">
        <v>23</v>
      </c>
      <c r="H150">
        <v>14</v>
      </c>
      <c r="I150" t="s">
        <v>46</v>
      </c>
      <c r="J150">
        <f>VLOOKUP(Shoe_Sales[[#This Row],[Product]],products!$A$1:$C$9,3,0)</f>
        <v>58</v>
      </c>
      <c r="K150">
        <f>VLOOKUP(Shoe_Sales[[#This Row],[Product]],products!$A$1:$C$9,2,FALSE)</f>
        <v>105</v>
      </c>
      <c r="L150">
        <f>Shoe_Sales[[#This Row],[Cost Price]]*Shoe_Sales[[#This Row],[Quantity]]</f>
        <v>812</v>
      </c>
      <c r="M150">
        <f>Shoe_Sales[[#This Row],[Selling Price]]*Shoe_Sales[[#This Row],[Quantity]]</f>
        <v>1470</v>
      </c>
      <c r="N150">
        <f>Shoe_Sales[[#This Row],[Revenue]]-Shoe_Sales[[#This Row],[Cost]]</f>
        <v>658</v>
      </c>
      <c r="O150" s="3">
        <f>Shoe_Sales[[#This Row],[Profit]]/Shoe_Sales[[#This Row],[Revenue]]</f>
        <v>0.44761904761904764</v>
      </c>
    </row>
    <row r="151" spans="1:15" x14ac:dyDescent="0.35">
      <c r="A151" s="2" t="s">
        <v>200</v>
      </c>
      <c r="B151" s="2">
        <v>46092</v>
      </c>
      <c r="C151" t="s">
        <v>41</v>
      </c>
      <c r="D151" t="s">
        <v>25</v>
      </c>
      <c r="E151" t="s">
        <v>20</v>
      </c>
      <c r="F151" t="s">
        <v>17</v>
      </c>
      <c r="G151" t="s">
        <v>34</v>
      </c>
      <c r="H151">
        <v>13</v>
      </c>
      <c r="I151" t="s">
        <v>46</v>
      </c>
      <c r="J151">
        <f>VLOOKUP(Shoe_Sales[[#This Row],[Product]],products!$A$1:$C$9,3,0)</f>
        <v>39</v>
      </c>
      <c r="K151">
        <f>VLOOKUP(Shoe_Sales[[#This Row],[Product]],products!$A$1:$C$9,2,FALSE)</f>
        <v>76</v>
      </c>
      <c r="L151">
        <f>Shoe_Sales[[#This Row],[Cost Price]]*Shoe_Sales[[#This Row],[Quantity]]</f>
        <v>507</v>
      </c>
      <c r="M151">
        <f>Shoe_Sales[[#This Row],[Selling Price]]*Shoe_Sales[[#This Row],[Quantity]]</f>
        <v>988</v>
      </c>
      <c r="N151">
        <f>Shoe_Sales[[#This Row],[Revenue]]-Shoe_Sales[[#This Row],[Cost]]</f>
        <v>481</v>
      </c>
      <c r="O151" s="3">
        <f>Shoe_Sales[[#This Row],[Profit]]/Shoe_Sales[[#This Row],[Revenue]]</f>
        <v>0.48684210526315791</v>
      </c>
    </row>
    <row r="152" spans="1:15" x14ac:dyDescent="0.35">
      <c r="A152" s="2" t="s">
        <v>201</v>
      </c>
      <c r="B152" s="2">
        <v>46093</v>
      </c>
      <c r="C152" t="s">
        <v>39</v>
      </c>
      <c r="D152" t="s">
        <v>19</v>
      </c>
      <c r="E152" t="s">
        <v>16</v>
      </c>
      <c r="F152" t="s">
        <v>40</v>
      </c>
      <c r="G152" t="s">
        <v>15</v>
      </c>
      <c r="H152">
        <v>6</v>
      </c>
      <c r="I152" t="s">
        <v>46</v>
      </c>
      <c r="J152">
        <f>VLOOKUP(Shoe_Sales[[#This Row],[Product]],products!$A$1:$C$9,3,0)</f>
        <v>72</v>
      </c>
      <c r="K152">
        <f>VLOOKUP(Shoe_Sales[[#This Row],[Product]],products!$A$1:$C$9,2,FALSE)</f>
        <v>128</v>
      </c>
      <c r="L152">
        <f>Shoe_Sales[[#This Row],[Cost Price]]*Shoe_Sales[[#This Row],[Quantity]]</f>
        <v>432</v>
      </c>
      <c r="M152">
        <f>Shoe_Sales[[#This Row],[Selling Price]]*Shoe_Sales[[#This Row],[Quantity]]</f>
        <v>768</v>
      </c>
      <c r="N152">
        <f>Shoe_Sales[[#This Row],[Revenue]]-Shoe_Sales[[#This Row],[Cost]]</f>
        <v>336</v>
      </c>
      <c r="O152" s="3">
        <f>Shoe_Sales[[#This Row],[Profit]]/Shoe_Sales[[#This Row],[Revenue]]</f>
        <v>0.4375</v>
      </c>
    </row>
    <row r="153" spans="1:15" x14ac:dyDescent="0.35">
      <c r="A153" s="2" t="s">
        <v>202</v>
      </c>
      <c r="B153" s="2">
        <v>46094</v>
      </c>
      <c r="C153" t="s">
        <v>33</v>
      </c>
      <c r="D153" t="s">
        <v>19</v>
      </c>
      <c r="E153" t="s">
        <v>14</v>
      </c>
      <c r="F153" t="s">
        <v>40</v>
      </c>
      <c r="G153" t="s">
        <v>28</v>
      </c>
      <c r="H153">
        <v>12</v>
      </c>
      <c r="I153" t="s">
        <v>45</v>
      </c>
      <c r="J153">
        <f>VLOOKUP(Shoe_Sales[[#This Row],[Product]],products!$A$1:$C$9,3,0)</f>
        <v>28</v>
      </c>
      <c r="K153">
        <f>VLOOKUP(Shoe_Sales[[#This Row],[Product]],products!$A$1:$C$9,2,FALSE)</f>
        <v>54</v>
      </c>
      <c r="L153">
        <f>Shoe_Sales[[#This Row],[Cost Price]]*Shoe_Sales[[#This Row],[Quantity]]</f>
        <v>336</v>
      </c>
      <c r="M153">
        <f>Shoe_Sales[[#This Row],[Selling Price]]*Shoe_Sales[[#This Row],[Quantity]]</f>
        <v>648</v>
      </c>
      <c r="N153">
        <f>Shoe_Sales[[#This Row],[Revenue]]-Shoe_Sales[[#This Row],[Cost]]</f>
        <v>312</v>
      </c>
      <c r="O153" s="3">
        <f>Shoe_Sales[[#This Row],[Profit]]/Shoe_Sales[[#This Row],[Revenue]]</f>
        <v>0.48148148148148145</v>
      </c>
    </row>
    <row r="154" spans="1:15" x14ac:dyDescent="0.35">
      <c r="A154" s="2" t="s">
        <v>203</v>
      </c>
      <c r="B154" s="2">
        <v>46094</v>
      </c>
      <c r="C154" t="s">
        <v>41</v>
      </c>
      <c r="D154" t="s">
        <v>10</v>
      </c>
      <c r="E154" t="s">
        <v>16</v>
      </c>
      <c r="F154" t="s">
        <v>8</v>
      </c>
      <c r="G154" t="s">
        <v>34</v>
      </c>
      <c r="H154">
        <v>8</v>
      </c>
      <c r="I154" t="s">
        <v>46</v>
      </c>
      <c r="J154">
        <f>VLOOKUP(Shoe_Sales[[#This Row],[Product]],products!$A$1:$C$9,3,0)</f>
        <v>39</v>
      </c>
      <c r="K154">
        <f>VLOOKUP(Shoe_Sales[[#This Row],[Product]],products!$A$1:$C$9,2,FALSE)</f>
        <v>76</v>
      </c>
      <c r="L154">
        <f>Shoe_Sales[[#This Row],[Cost Price]]*Shoe_Sales[[#This Row],[Quantity]]</f>
        <v>312</v>
      </c>
      <c r="M154">
        <f>Shoe_Sales[[#This Row],[Selling Price]]*Shoe_Sales[[#This Row],[Quantity]]</f>
        <v>608</v>
      </c>
      <c r="N154">
        <f>Shoe_Sales[[#This Row],[Revenue]]-Shoe_Sales[[#This Row],[Cost]]</f>
        <v>296</v>
      </c>
      <c r="O154" s="3">
        <f>Shoe_Sales[[#This Row],[Profit]]/Shoe_Sales[[#This Row],[Revenue]]</f>
        <v>0.48684210526315791</v>
      </c>
    </row>
    <row r="155" spans="1:15" x14ac:dyDescent="0.35">
      <c r="A155" s="2" t="s">
        <v>204</v>
      </c>
      <c r="B155" s="2">
        <v>46094</v>
      </c>
      <c r="C155" t="s">
        <v>27</v>
      </c>
      <c r="D155" t="s">
        <v>10</v>
      </c>
      <c r="E155" t="s">
        <v>20</v>
      </c>
      <c r="F155" t="s">
        <v>8</v>
      </c>
      <c r="G155" t="s">
        <v>24</v>
      </c>
      <c r="H155">
        <v>9</v>
      </c>
      <c r="I155" t="s">
        <v>46</v>
      </c>
      <c r="J155">
        <f>VLOOKUP(Shoe_Sales[[#This Row],[Product]],products!$A$1:$C$9,3,0)</f>
        <v>14</v>
      </c>
      <c r="K155">
        <f>VLOOKUP(Shoe_Sales[[#This Row],[Product]],products!$A$1:$C$9,2,FALSE)</f>
        <v>32</v>
      </c>
      <c r="L155">
        <f>Shoe_Sales[[#This Row],[Cost Price]]*Shoe_Sales[[#This Row],[Quantity]]</f>
        <v>126</v>
      </c>
      <c r="M155">
        <f>Shoe_Sales[[#This Row],[Selling Price]]*Shoe_Sales[[#This Row],[Quantity]]</f>
        <v>288</v>
      </c>
      <c r="N155">
        <f>Shoe_Sales[[#This Row],[Revenue]]-Shoe_Sales[[#This Row],[Cost]]</f>
        <v>162</v>
      </c>
      <c r="O155" s="3">
        <f>Shoe_Sales[[#This Row],[Profit]]/Shoe_Sales[[#This Row],[Revenue]]</f>
        <v>0.5625</v>
      </c>
    </row>
    <row r="156" spans="1:15" x14ac:dyDescent="0.35">
      <c r="A156" s="2" t="s">
        <v>205</v>
      </c>
      <c r="B156" s="2">
        <v>46094</v>
      </c>
      <c r="C156" t="s">
        <v>33</v>
      </c>
      <c r="D156" t="s">
        <v>19</v>
      </c>
      <c r="E156" t="s">
        <v>20</v>
      </c>
      <c r="F156" t="s">
        <v>29</v>
      </c>
      <c r="G156" t="s">
        <v>24</v>
      </c>
      <c r="H156">
        <v>9</v>
      </c>
      <c r="I156" t="s">
        <v>48</v>
      </c>
      <c r="J156">
        <f>VLOOKUP(Shoe_Sales[[#This Row],[Product]],products!$A$1:$C$9,3,0)</f>
        <v>28</v>
      </c>
      <c r="K156">
        <f>VLOOKUP(Shoe_Sales[[#This Row],[Product]],products!$A$1:$C$9,2,FALSE)</f>
        <v>54</v>
      </c>
      <c r="L156">
        <f>Shoe_Sales[[#This Row],[Cost Price]]*Shoe_Sales[[#This Row],[Quantity]]</f>
        <v>252</v>
      </c>
      <c r="M156">
        <f>Shoe_Sales[[#This Row],[Selling Price]]*Shoe_Sales[[#This Row],[Quantity]]</f>
        <v>486</v>
      </c>
      <c r="N156">
        <f>Shoe_Sales[[#This Row],[Revenue]]-Shoe_Sales[[#This Row],[Cost]]</f>
        <v>234</v>
      </c>
      <c r="O156" s="3">
        <f>Shoe_Sales[[#This Row],[Profit]]/Shoe_Sales[[#This Row],[Revenue]]</f>
        <v>0.48148148148148145</v>
      </c>
    </row>
    <row r="157" spans="1:15" x14ac:dyDescent="0.35">
      <c r="A157" s="2" t="s">
        <v>206</v>
      </c>
      <c r="B157" s="2">
        <v>46094</v>
      </c>
      <c r="C157" t="s">
        <v>33</v>
      </c>
      <c r="D157" t="s">
        <v>31</v>
      </c>
      <c r="E157" t="s">
        <v>11</v>
      </c>
      <c r="F157" t="s">
        <v>8</v>
      </c>
      <c r="G157" t="s">
        <v>23</v>
      </c>
      <c r="H157">
        <v>7</v>
      </c>
      <c r="I157" t="s">
        <v>46</v>
      </c>
      <c r="J157">
        <f>VLOOKUP(Shoe_Sales[[#This Row],[Product]],products!$A$1:$C$9,3,0)</f>
        <v>28</v>
      </c>
      <c r="K157">
        <f>VLOOKUP(Shoe_Sales[[#This Row],[Product]],products!$A$1:$C$9,2,FALSE)</f>
        <v>54</v>
      </c>
      <c r="L157">
        <f>Shoe_Sales[[#This Row],[Cost Price]]*Shoe_Sales[[#This Row],[Quantity]]</f>
        <v>196</v>
      </c>
      <c r="M157">
        <f>Shoe_Sales[[#This Row],[Selling Price]]*Shoe_Sales[[#This Row],[Quantity]]</f>
        <v>378</v>
      </c>
      <c r="N157">
        <f>Shoe_Sales[[#This Row],[Revenue]]-Shoe_Sales[[#This Row],[Cost]]</f>
        <v>182</v>
      </c>
      <c r="O157" s="3">
        <f>Shoe_Sales[[#This Row],[Profit]]/Shoe_Sales[[#This Row],[Revenue]]</f>
        <v>0.48148148148148145</v>
      </c>
    </row>
    <row r="158" spans="1:15" x14ac:dyDescent="0.35">
      <c r="A158" s="2" t="s">
        <v>207</v>
      </c>
      <c r="B158" s="2">
        <v>46095</v>
      </c>
      <c r="C158" t="s">
        <v>27</v>
      </c>
      <c r="D158" t="s">
        <v>25</v>
      </c>
      <c r="E158" t="s">
        <v>11</v>
      </c>
      <c r="F158" t="s">
        <v>17</v>
      </c>
      <c r="G158" t="s">
        <v>34</v>
      </c>
      <c r="H158">
        <v>15</v>
      </c>
      <c r="I158" t="s">
        <v>47</v>
      </c>
      <c r="J158">
        <f>VLOOKUP(Shoe_Sales[[#This Row],[Product]],products!$A$1:$C$9,3,0)</f>
        <v>14</v>
      </c>
      <c r="K158">
        <f>VLOOKUP(Shoe_Sales[[#This Row],[Product]],products!$A$1:$C$9,2,FALSE)</f>
        <v>32</v>
      </c>
      <c r="L158">
        <f>Shoe_Sales[[#This Row],[Cost Price]]*Shoe_Sales[[#This Row],[Quantity]]</f>
        <v>210</v>
      </c>
      <c r="M158">
        <f>Shoe_Sales[[#This Row],[Selling Price]]*Shoe_Sales[[#This Row],[Quantity]]</f>
        <v>480</v>
      </c>
      <c r="N158">
        <f>Shoe_Sales[[#This Row],[Revenue]]-Shoe_Sales[[#This Row],[Cost]]</f>
        <v>270</v>
      </c>
      <c r="O158" s="3">
        <f>Shoe_Sales[[#This Row],[Profit]]/Shoe_Sales[[#This Row],[Revenue]]</f>
        <v>0.5625</v>
      </c>
    </row>
    <row r="159" spans="1:15" x14ac:dyDescent="0.35">
      <c r="A159" s="2" t="s">
        <v>208</v>
      </c>
      <c r="B159" s="2">
        <v>46096</v>
      </c>
      <c r="C159" t="s">
        <v>39</v>
      </c>
      <c r="D159" t="s">
        <v>10</v>
      </c>
      <c r="E159" t="s">
        <v>11</v>
      </c>
      <c r="F159" t="s">
        <v>17</v>
      </c>
      <c r="G159" t="s">
        <v>21</v>
      </c>
      <c r="H159">
        <v>10</v>
      </c>
      <c r="I159" t="s">
        <v>45</v>
      </c>
      <c r="J159">
        <f>VLOOKUP(Shoe_Sales[[#This Row],[Product]],products!$A$1:$C$9,3,0)</f>
        <v>72</v>
      </c>
      <c r="K159">
        <f>VLOOKUP(Shoe_Sales[[#This Row],[Product]],products!$A$1:$C$9,2,FALSE)</f>
        <v>128</v>
      </c>
      <c r="L159">
        <f>Shoe_Sales[[#This Row],[Cost Price]]*Shoe_Sales[[#This Row],[Quantity]]</f>
        <v>720</v>
      </c>
      <c r="M159">
        <f>Shoe_Sales[[#This Row],[Selling Price]]*Shoe_Sales[[#This Row],[Quantity]]</f>
        <v>1280</v>
      </c>
      <c r="N159">
        <f>Shoe_Sales[[#This Row],[Revenue]]-Shoe_Sales[[#This Row],[Cost]]</f>
        <v>560</v>
      </c>
      <c r="O159" s="3">
        <f>Shoe_Sales[[#This Row],[Profit]]/Shoe_Sales[[#This Row],[Revenue]]</f>
        <v>0.4375</v>
      </c>
    </row>
    <row r="160" spans="1:15" x14ac:dyDescent="0.35">
      <c r="A160" s="2" t="s">
        <v>209</v>
      </c>
      <c r="B160" s="2">
        <v>46097</v>
      </c>
      <c r="C160" t="s">
        <v>33</v>
      </c>
      <c r="D160" t="s">
        <v>10</v>
      </c>
      <c r="E160" t="s">
        <v>20</v>
      </c>
      <c r="F160" t="s">
        <v>8</v>
      </c>
      <c r="G160" t="s">
        <v>32</v>
      </c>
      <c r="H160">
        <v>9</v>
      </c>
      <c r="I160" t="s">
        <v>47</v>
      </c>
      <c r="J160">
        <f>VLOOKUP(Shoe_Sales[[#This Row],[Product]],products!$A$1:$C$9,3,0)</f>
        <v>28</v>
      </c>
      <c r="K160">
        <f>VLOOKUP(Shoe_Sales[[#This Row],[Product]],products!$A$1:$C$9,2,FALSE)</f>
        <v>54</v>
      </c>
      <c r="L160">
        <f>Shoe_Sales[[#This Row],[Cost Price]]*Shoe_Sales[[#This Row],[Quantity]]</f>
        <v>252</v>
      </c>
      <c r="M160">
        <f>Shoe_Sales[[#This Row],[Selling Price]]*Shoe_Sales[[#This Row],[Quantity]]</f>
        <v>486</v>
      </c>
      <c r="N160">
        <f>Shoe_Sales[[#This Row],[Revenue]]-Shoe_Sales[[#This Row],[Cost]]</f>
        <v>234</v>
      </c>
      <c r="O160" s="3">
        <f>Shoe_Sales[[#This Row],[Profit]]/Shoe_Sales[[#This Row],[Revenue]]</f>
        <v>0.48148148148148145</v>
      </c>
    </row>
    <row r="161" spans="1:15" x14ac:dyDescent="0.35">
      <c r="A161" s="2" t="s">
        <v>210</v>
      </c>
      <c r="B161" s="2">
        <v>46097</v>
      </c>
      <c r="C161" t="s">
        <v>13</v>
      </c>
      <c r="D161" t="s">
        <v>25</v>
      </c>
      <c r="E161" t="s">
        <v>14</v>
      </c>
      <c r="F161" t="s">
        <v>8</v>
      </c>
      <c r="G161" t="s">
        <v>15</v>
      </c>
      <c r="H161">
        <v>12</v>
      </c>
      <c r="I161" t="s">
        <v>48</v>
      </c>
      <c r="J161">
        <f>VLOOKUP(Shoe_Sales[[#This Row],[Product]],products!$A$1:$C$9,3,0)</f>
        <v>67</v>
      </c>
      <c r="K161">
        <f>VLOOKUP(Shoe_Sales[[#This Row],[Product]],products!$A$1:$C$9,2,FALSE)</f>
        <v>119</v>
      </c>
      <c r="L161">
        <f>Shoe_Sales[[#This Row],[Cost Price]]*Shoe_Sales[[#This Row],[Quantity]]</f>
        <v>804</v>
      </c>
      <c r="M161">
        <f>Shoe_Sales[[#This Row],[Selling Price]]*Shoe_Sales[[#This Row],[Quantity]]</f>
        <v>1428</v>
      </c>
      <c r="N161">
        <f>Shoe_Sales[[#This Row],[Revenue]]-Shoe_Sales[[#This Row],[Cost]]</f>
        <v>624</v>
      </c>
      <c r="O161" s="3">
        <f>Shoe_Sales[[#This Row],[Profit]]/Shoe_Sales[[#This Row],[Revenue]]</f>
        <v>0.43697478991596639</v>
      </c>
    </row>
    <row r="162" spans="1:15" x14ac:dyDescent="0.35">
      <c r="A162" s="2" t="s">
        <v>211</v>
      </c>
      <c r="B162" s="2">
        <v>46097</v>
      </c>
      <c r="C162" t="s">
        <v>33</v>
      </c>
      <c r="D162" t="s">
        <v>10</v>
      </c>
      <c r="E162" t="s">
        <v>20</v>
      </c>
      <c r="F162" t="s">
        <v>8</v>
      </c>
      <c r="G162" t="s">
        <v>21</v>
      </c>
      <c r="H162">
        <v>5</v>
      </c>
      <c r="I162" t="s">
        <v>46</v>
      </c>
      <c r="J162">
        <f>VLOOKUP(Shoe_Sales[[#This Row],[Product]],products!$A$1:$C$9,3,0)</f>
        <v>28</v>
      </c>
      <c r="K162">
        <f>VLOOKUP(Shoe_Sales[[#This Row],[Product]],products!$A$1:$C$9,2,FALSE)</f>
        <v>54</v>
      </c>
      <c r="L162">
        <f>Shoe_Sales[[#This Row],[Cost Price]]*Shoe_Sales[[#This Row],[Quantity]]</f>
        <v>140</v>
      </c>
      <c r="M162">
        <f>Shoe_Sales[[#This Row],[Selling Price]]*Shoe_Sales[[#This Row],[Quantity]]</f>
        <v>270</v>
      </c>
      <c r="N162">
        <f>Shoe_Sales[[#This Row],[Revenue]]-Shoe_Sales[[#This Row],[Cost]]</f>
        <v>130</v>
      </c>
      <c r="O162" s="3">
        <f>Shoe_Sales[[#This Row],[Profit]]/Shoe_Sales[[#This Row],[Revenue]]</f>
        <v>0.48148148148148145</v>
      </c>
    </row>
    <row r="163" spans="1:15" x14ac:dyDescent="0.35">
      <c r="A163" s="2" t="s">
        <v>212</v>
      </c>
      <c r="B163" s="2">
        <v>46097</v>
      </c>
      <c r="C163" t="s">
        <v>41</v>
      </c>
      <c r="D163" t="s">
        <v>10</v>
      </c>
      <c r="E163" t="s">
        <v>20</v>
      </c>
      <c r="F163" t="s">
        <v>29</v>
      </c>
      <c r="G163" t="s">
        <v>24</v>
      </c>
      <c r="H163">
        <v>7</v>
      </c>
      <c r="I163" t="s">
        <v>48</v>
      </c>
      <c r="J163">
        <f>VLOOKUP(Shoe_Sales[[#This Row],[Product]],products!$A$1:$C$9,3,0)</f>
        <v>39</v>
      </c>
      <c r="K163">
        <f>VLOOKUP(Shoe_Sales[[#This Row],[Product]],products!$A$1:$C$9,2,FALSE)</f>
        <v>76</v>
      </c>
      <c r="L163">
        <f>Shoe_Sales[[#This Row],[Cost Price]]*Shoe_Sales[[#This Row],[Quantity]]</f>
        <v>273</v>
      </c>
      <c r="M163">
        <f>Shoe_Sales[[#This Row],[Selling Price]]*Shoe_Sales[[#This Row],[Quantity]]</f>
        <v>532</v>
      </c>
      <c r="N163">
        <f>Shoe_Sales[[#This Row],[Revenue]]-Shoe_Sales[[#This Row],[Cost]]</f>
        <v>259</v>
      </c>
      <c r="O163" s="3">
        <f>Shoe_Sales[[#This Row],[Profit]]/Shoe_Sales[[#This Row],[Revenue]]</f>
        <v>0.48684210526315791</v>
      </c>
    </row>
    <row r="164" spans="1:15" x14ac:dyDescent="0.35">
      <c r="A164" s="2" t="s">
        <v>213</v>
      </c>
      <c r="B164" s="2">
        <v>46098</v>
      </c>
      <c r="C164" t="s">
        <v>13</v>
      </c>
      <c r="D164" t="s">
        <v>25</v>
      </c>
      <c r="E164" t="s">
        <v>16</v>
      </c>
      <c r="F164" t="s">
        <v>17</v>
      </c>
      <c r="G164" t="s">
        <v>24</v>
      </c>
      <c r="H164">
        <v>13</v>
      </c>
      <c r="I164" t="s">
        <v>48</v>
      </c>
      <c r="J164">
        <f>VLOOKUP(Shoe_Sales[[#This Row],[Product]],products!$A$1:$C$9,3,0)</f>
        <v>67</v>
      </c>
      <c r="K164">
        <f>VLOOKUP(Shoe_Sales[[#This Row],[Product]],products!$A$1:$C$9,2,FALSE)</f>
        <v>119</v>
      </c>
      <c r="L164">
        <f>Shoe_Sales[[#This Row],[Cost Price]]*Shoe_Sales[[#This Row],[Quantity]]</f>
        <v>871</v>
      </c>
      <c r="M164">
        <f>Shoe_Sales[[#This Row],[Selling Price]]*Shoe_Sales[[#This Row],[Quantity]]</f>
        <v>1547</v>
      </c>
      <c r="N164">
        <f>Shoe_Sales[[#This Row],[Revenue]]-Shoe_Sales[[#This Row],[Cost]]</f>
        <v>676</v>
      </c>
      <c r="O164" s="3">
        <f>Shoe_Sales[[#This Row],[Profit]]/Shoe_Sales[[#This Row],[Revenue]]</f>
        <v>0.43697478991596639</v>
      </c>
    </row>
    <row r="165" spans="1:15" x14ac:dyDescent="0.35">
      <c r="A165" s="2" t="s">
        <v>214</v>
      </c>
      <c r="B165" s="2">
        <v>46099</v>
      </c>
      <c r="C165" t="s">
        <v>39</v>
      </c>
      <c r="D165" t="s">
        <v>31</v>
      </c>
      <c r="E165" t="s">
        <v>20</v>
      </c>
      <c r="F165" t="s">
        <v>40</v>
      </c>
      <c r="G165" t="s">
        <v>34</v>
      </c>
      <c r="H165">
        <v>7</v>
      </c>
      <c r="I165" t="s">
        <v>45</v>
      </c>
      <c r="J165">
        <f>VLOOKUP(Shoe_Sales[[#This Row],[Product]],products!$A$1:$C$9,3,0)</f>
        <v>72</v>
      </c>
      <c r="K165">
        <f>VLOOKUP(Shoe_Sales[[#This Row],[Product]],products!$A$1:$C$9,2,FALSE)</f>
        <v>128</v>
      </c>
      <c r="L165">
        <f>Shoe_Sales[[#This Row],[Cost Price]]*Shoe_Sales[[#This Row],[Quantity]]</f>
        <v>504</v>
      </c>
      <c r="M165">
        <f>Shoe_Sales[[#This Row],[Selling Price]]*Shoe_Sales[[#This Row],[Quantity]]</f>
        <v>896</v>
      </c>
      <c r="N165">
        <f>Shoe_Sales[[#This Row],[Revenue]]-Shoe_Sales[[#This Row],[Cost]]</f>
        <v>392</v>
      </c>
      <c r="O165" s="3">
        <f>Shoe_Sales[[#This Row],[Profit]]/Shoe_Sales[[#This Row],[Revenue]]</f>
        <v>0.4375</v>
      </c>
    </row>
    <row r="166" spans="1:15" x14ac:dyDescent="0.35">
      <c r="A166" s="2" t="s">
        <v>215</v>
      </c>
      <c r="B166" s="2">
        <v>46099</v>
      </c>
      <c r="C166" t="s">
        <v>41</v>
      </c>
      <c r="D166" t="s">
        <v>25</v>
      </c>
      <c r="E166" t="s">
        <v>20</v>
      </c>
      <c r="F166" t="s">
        <v>8</v>
      </c>
      <c r="G166" t="s">
        <v>30</v>
      </c>
      <c r="H166">
        <v>3</v>
      </c>
      <c r="I166" t="s">
        <v>45</v>
      </c>
      <c r="J166">
        <f>VLOOKUP(Shoe_Sales[[#This Row],[Product]],products!$A$1:$C$9,3,0)</f>
        <v>39</v>
      </c>
      <c r="K166">
        <f>VLOOKUP(Shoe_Sales[[#This Row],[Product]],products!$A$1:$C$9,2,FALSE)</f>
        <v>76</v>
      </c>
      <c r="L166">
        <f>Shoe_Sales[[#This Row],[Cost Price]]*Shoe_Sales[[#This Row],[Quantity]]</f>
        <v>117</v>
      </c>
      <c r="M166">
        <f>Shoe_Sales[[#This Row],[Selling Price]]*Shoe_Sales[[#This Row],[Quantity]]</f>
        <v>228</v>
      </c>
      <c r="N166">
        <f>Shoe_Sales[[#This Row],[Revenue]]-Shoe_Sales[[#This Row],[Cost]]</f>
        <v>111</v>
      </c>
      <c r="O166" s="3">
        <f>Shoe_Sales[[#This Row],[Profit]]/Shoe_Sales[[#This Row],[Revenue]]</f>
        <v>0.48684210526315791</v>
      </c>
    </row>
    <row r="167" spans="1:15" x14ac:dyDescent="0.35">
      <c r="A167" s="2" t="s">
        <v>216</v>
      </c>
      <c r="B167" s="2">
        <v>46099</v>
      </c>
      <c r="C167" t="s">
        <v>42</v>
      </c>
      <c r="D167" t="s">
        <v>25</v>
      </c>
      <c r="E167" t="s">
        <v>7</v>
      </c>
      <c r="F167" t="s">
        <v>35</v>
      </c>
      <c r="G167" t="s">
        <v>9</v>
      </c>
      <c r="H167">
        <v>4</v>
      </c>
      <c r="I167" t="s">
        <v>45</v>
      </c>
      <c r="J167">
        <f>VLOOKUP(Shoe_Sales[[#This Row],[Product]],products!$A$1:$C$9,3,0)</f>
        <v>47</v>
      </c>
      <c r="K167">
        <f>VLOOKUP(Shoe_Sales[[#This Row],[Product]],products!$A$1:$C$9,2,FALSE)</f>
        <v>89</v>
      </c>
      <c r="L167">
        <f>Shoe_Sales[[#This Row],[Cost Price]]*Shoe_Sales[[#This Row],[Quantity]]</f>
        <v>188</v>
      </c>
      <c r="M167">
        <f>Shoe_Sales[[#This Row],[Selling Price]]*Shoe_Sales[[#This Row],[Quantity]]</f>
        <v>356</v>
      </c>
      <c r="N167">
        <f>Shoe_Sales[[#This Row],[Revenue]]-Shoe_Sales[[#This Row],[Cost]]</f>
        <v>168</v>
      </c>
      <c r="O167" s="3">
        <f>Shoe_Sales[[#This Row],[Profit]]/Shoe_Sales[[#This Row],[Revenue]]</f>
        <v>0.47191011235955055</v>
      </c>
    </row>
    <row r="168" spans="1:15" x14ac:dyDescent="0.35">
      <c r="A168" s="2" t="s">
        <v>217</v>
      </c>
      <c r="B168" s="2">
        <v>46101</v>
      </c>
      <c r="C168" t="s">
        <v>41</v>
      </c>
      <c r="D168" t="s">
        <v>10</v>
      </c>
      <c r="E168" t="s">
        <v>11</v>
      </c>
      <c r="F168" t="s">
        <v>17</v>
      </c>
      <c r="G168" t="s">
        <v>24</v>
      </c>
      <c r="H168">
        <v>4</v>
      </c>
      <c r="I168" t="s">
        <v>45</v>
      </c>
      <c r="J168">
        <f>VLOOKUP(Shoe_Sales[[#This Row],[Product]],products!$A$1:$C$9,3,0)</f>
        <v>39</v>
      </c>
      <c r="K168">
        <f>VLOOKUP(Shoe_Sales[[#This Row],[Product]],products!$A$1:$C$9,2,FALSE)</f>
        <v>76</v>
      </c>
      <c r="L168">
        <f>Shoe_Sales[[#This Row],[Cost Price]]*Shoe_Sales[[#This Row],[Quantity]]</f>
        <v>156</v>
      </c>
      <c r="M168">
        <f>Shoe_Sales[[#This Row],[Selling Price]]*Shoe_Sales[[#This Row],[Quantity]]</f>
        <v>304</v>
      </c>
      <c r="N168">
        <f>Shoe_Sales[[#This Row],[Revenue]]-Shoe_Sales[[#This Row],[Cost]]</f>
        <v>148</v>
      </c>
      <c r="O168" s="3">
        <f>Shoe_Sales[[#This Row],[Profit]]/Shoe_Sales[[#This Row],[Revenue]]</f>
        <v>0.48684210526315791</v>
      </c>
    </row>
    <row r="169" spans="1:15" x14ac:dyDescent="0.35">
      <c r="A169" s="2" t="s">
        <v>218</v>
      </c>
      <c r="B169" s="2">
        <v>46101</v>
      </c>
      <c r="C169" t="s">
        <v>27</v>
      </c>
      <c r="D169" t="s">
        <v>25</v>
      </c>
      <c r="E169" t="s">
        <v>20</v>
      </c>
      <c r="F169" t="s">
        <v>8</v>
      </c>
      <c r="G169" t="s">
        <v>9</v>
      </c>
      <c r="H169">
        <v>4</v>
      </c>
      <c r="I169" t="s">
        <v>48</v>
      </c>
      <c r="J169">
        <f>VLOOKUP(Shoe_Sales[[#This Row],[Product]],products!$A$1:$C$9,3,0)</f>
        <v>14</v>
      </c>
      <c r="K169">
        <f>VLOOKUP(Shoe_Sales[[#This Row],[Product]],products!$A$1:$C$9,2,FALSE)</f>
        <v>32</v>
      </c>
      <c r="L169">
        <f>Shoe_Sales[[#This Row],[Cost Price]]*Shoe_Sales[[#This Row],[Quantity]]</f>
        <v>56</v>
      </c>
      <c r="M169">
        <f>Shoe_Sales[[#This Row],[Selling Price]]*Shoe_Sales[[#This Row],[Quantity]]</f>
        <v>128</v>
      </c>
      <c r="N169">
        <f>Shoe_Sales[[#This Row],[Revenue]]-Shoe_Sales[[#This Row],[Cost]]</f>
        <v>72</v>
      </c>
      <c r="O169" s="3">
        <f>Shoe_Sales[[#This Row],[Profit]]/Shoe_Sales[[#This Row],[Revenue]]</f>
        <v>0.5625</v>
      </c>
    </row>
    <row r="170" spans="1:15" x14ac:dyDescent="0.35">
      <c r="A170" s="2" t="s">
        <v>219</v>
      </c>
      <c r="B170" s="2">
        <v>46103</v>
      </c>
      <c r="C170" t="s">
        <v>22</v>
      </c>
      <c r="D170" t="s">
        <v>25</v>
      </c>
      <c r="E170" t="s">
        <v>20</v>
      </c>
      <c r="F170" t="s">
        <v>8</v>
      </c>
      <c r="G170" t="s">
        <v>21</v>
      </c>
      <c r="H170">
        <v>14</v>
      </c>
      <c r="I170" t="s">
        <v>46</v>
      </c>
      <c r="J170">
        <f>VLOOKUP(Shoe_Sales[[#This Row],[Product]],products!$A$1:$C$9,3,0)</f>
        <v>58</v>
      </c>
      <c r="K170">
        <f>VLOOKUP(Shoe_Sales[[#This Row],[Product]],products!$A$1:$C$9,2,FALSE)</f>
        <v>105</v>
      </c>
      <c r="L170">
        <f>Shoe_Sales[[#This Row],[Cost Price]]*Shoe_Sales[[#This Row],[Quantity]]</f>
        <v>812</v>
      </c>
      <c r="M170">
        <f>Shoe_Sales[[#This Row],[Selling Price]]*Shoe_Sales[[#This Row],[Quantity]]</f>
        <v>1470</v>
      </c>
      <c r="N170">
        <f>Shoe_Sales[[#This Row],[Revenue]]-Shoe_Sales[[#This Row],[Cost]]</f>
        <v>658</v>
      </c>
      <c r="O170" s="3">
        <f>Shoe_Sales[[#This Row],[Profit]]/Shoe_Sales[[#This Row],[Revenue]]</f>
        <v>0.44761904761904764</v>
      </c>
    </row>
    <row r="171" spans="1:15" x14ac:dyDescent="0.35">
      <c r="A171" s="2" t="s">
        <v>220</v>
      </c>
      <c r="B171" s="2">
        <v>46105</v>
      </c>
      <c r="C171" t="s">
        <v>39</v>
      </c>
      <c r="D171" t="s">
        <v>31</v>
      </c>
      <c r="E171" t="s">
        <v>7</v>
      </c>
      <c r="F171" t="s">
        <v>35</v>
      </c>
      <c r="G171" t="s">
        <v>12</v>
      </c>
      <c r="H171">
        <v>2</v>
      </c>
      <c r="I171" t="s">
        <v>47</v>
      </c>
      <c r="J171">
        <f>VLOOKUP(Shoe_Sales[[#This Row],[Product]],products!$A$1:$C$9,3,0)</f>
        <v>72</v>
      </c>
      <c r="K171">
        <f>VLOOKUP(Shoe_Sales[[#This Row],[Product]],products!$A$1:$C$9,2,FALSE)</f>
        <v>128</v>
      </c>
      <c r="L171">
        <f>Shoe_Sales[[#This Row],[Cost Price]]*Shoe_Sales[[#This Row],[Quantity]]</f>
        <v>144</v>
      </c>
      <c r="M171">
        <f>Shoe_Sales[[#This Row],[Selling Price]]*Shoe_Sales[[#This Row],[Quantity]]</f>
        <v>256</v>
      </c>
      <c r="N171">
        <f>Shoe_Sales[[#This Row],[Revenue]]-Shoe_Sales[[#This Row],[Cost]]</f>
        <v>112</v>
      </c>
      <c r="O171" s="3">
        <f>Shoe_Sales[[#This Row],[Profit]]/Shoe_Sales[[#This Row],[Revenue]]</f>
        <v>0.4375</v>
      </c>
    </row>
    <row r="172" spans="1:15" x14ac:dyDescent="0.35">
      <c r="A172" s="2" t="s">
        <v>221</v>
      </c>
      <c r="B172" s="2">
        <v>46105</v>
      </c>
      <c r="C172" t="s">
        <v>38</v>
      </c>
      <c r="D172" t="s">
        <v>31</v>
      </c>
      <c r="E172" t="s">
        <v>16</v>
      </c>
      <c r="F172" t="s">
        <v>17</v>
      </c>
      <c r="G172" t="s">
        <v>15</v>
      </c>
      <c r="H172">
        <v>5</v>
      </c>
      <c r="I172" t="s">
        <v>47</v>
      </c>
      <c r="J172">
        <f>VLOOKUP(Shoe_Sales[[#This Row],[Product]],products!$A$1:$C$9,3,0)</f>
        <v>64</v>
      </c>
      <c r="K172">
        <f>VLOOKUP(Shoe_Sales[[#This Row],[Product]],products!$A$1:$C$9,2,FALSE)</f>
        <v>112</v>
      </c>
      <c r="L172">
        <f>Shoe_Sales[[#This Row],[Cost Price]]*Shoe_Sales[[#This Row],[Quantity]]</f>
        <v>320</v>
      </c>
      <c r="M172">
        <f>Shoe_Sales[[#This Row],[Selling Price]]*Shoe_Sales[[#This Row],[Quantity]]</f>
        <v>560</v>
      </c>
      <c r="N172">
        <f>Shoe_Sales[[#This Row],[Revenue]]-Shoe_Sales[[#This Row],[Cost]]</f>
        <v>240</v>
      </c>
      <c r="O172" s="3">
        <f>Shoe_Sales[[#This Row],[Profit]]/Shoe_Sales[[#This Row],[Revenue]]</f>
        <v>0.42857142857142855</v>
      </c>
    </row>
    <row r="173" spans="1:15" x14ac:dyDescent="0.35">
      <c r="A173" s="2" t="s">
        <v>222</v>
      </c>
      <c r="B173" s="2">
        <v>46105</v>
      </c>
      <c r="C173" t="s">
        <v>27</v>
      </c>
      <c r="D173" t="s">
        <v>10</v>
      </c>
      <c r="E173" t="s">
        <v>14</v>
      </c>
      <c r="F173" t="s">
        <v>17</v>
      </c>
      <c r="G173" t="s">
        <v>36</v>
      </c>
      <c r="H173">
        <v>3</v>
      </c>
      <c r="I173" t="s">
        <v>46</v>
      </c>
      <c r="J173">
        <f>VLOOKUP(Shoe_Sales[[#This Row],[Product]],products!$A$1:$C$9,3,0)</f>
        <v>14</v>
      </c>
      <c r="K173">
        <f>VLOOKUP(Shoe_Sales[[#This Row],[Product]],products!$A$1:$C$9,2,FALSE)</f>
        <v>32</v>
      </c>
      <c r="L173">
        <f>Shoe_Sales[[#This Row],[Cost Price]]*Shoe_Sales[[#This Row],[Quantity]]</f>
        <v>42</v>
      </c>
      <c r="M173">
        <f>Shoe_Sales[[#This Row],[Selling Price]]*Shoe_Sales[[#This Row],[Quantity]]</f>
        <v>96</v>
      </c>
      <c r="N173">
        <f>Shoe_Sales[[#This Row],[Revenue]]-Shoe_Sales[[#This Row],[Cost]]</f>
        <v>54</v>
      </c>
      <c r="O173" s="3">
        <f>Shoe_Sales[[#This Row],[Profit]]/Shoe_Sales[[#This Row],[Revenue]]</f>
        <v>0.5625</v>
      </c>
    </row>
    <row r="174" spans="1:15" x14ac:dyDescent="0.35">
      <c r="A174" s="2" t="s">
        <v>223</v>
      </c>
      <c r="B174" s="2">
        <v>46106</v>
      </c>
      <c r="C174" t="s">
        <v>38</v>
      </c>
      <c r="D174" t="s">
        <v>10</v>
      </c>
      <c r="E174" t="s">
        <v>14</v>
      </c>
      <c r="F174" t="s">
        <v>35</v>
      </c>
      <c r="G174" t="s">
        <v>23</v>
      </c>
      <c r="H174">
        <v>2</v>
      </c>
      <c r="I174" t="s">
        <v>46</v>
      </c>
      <c r="J174">
        <f>VLOOKUP(Shoe_Sales[[#This Row],[Product]],products!$A$1:$C$9,3,0)</f>
        <v>64</v>
      </c>
      <c r="K174">
        <f>VLOOKUP(Shoe_Sales[[#This Row],[Product]],products!$A$1:$C$9,2,FALSE)</f>
        <v>112</v>
      </c>
      <c r="L174">
        <f>Shoe_Sales[[#This Row],[Cost Price]]*Shoe_Sales[[#This Row],[Quantity]]</f>
        <v>128</v>
      </c>
      <c r="M174">
        <f>Shoe_Sales[[#This Row],[Selling Price]]*Shoe_Sales[[#This Row],[Quantity]]</f>
        <v>224</v>
      </c>
      <c r="N174">
        <f>Shoe_Sales[[#This Row],[Revenue]]-Shoe_Sales[[#This Row],[Cost]]</f>
        <v>96</v>
      </c>
      <c r="O174" s="3">
        <f>Shoe_Sales[[#This Row],[Profit]]/Shoe_Sales[[#This Row],[Revenue]]</f>
        <v>0.42857142857142855</v>
      </c>
    </row>
    <row r="175" spans="1:15" x14ac:dyDescent="0.35">
      <c r="A175" s="2" t="s">
        <v>224</v>
      </c>
      <c r="B175" s="2">
        <v>46106</v>
      </c>
      <c r="C175" t="s">
        <v>38</v>
      </c>
      <c r="D175" t="s">
        <v>10</v>
      </c>
      <c r="E175" t="s">
        <v>11</v>
      </c>
      <c r="F175" t="s">
        <v>17</v>
      </c>
      <c r="G175" t="s">
        <v>15</v>
      </c>
      <c r="H175">
        <v>2</v>
      </c>
      <c r="I175" t="s">
        <v>48</v>
      </c>
      <c r="J175">
        <f>VLOOKUP(Shoe_Sales[[#This Row],[Product]],products!$A$1:$C$9,3,0)</f>
        <v>64</v>
      </c>
      <c r="K175">
        <f>VLOOKUP(Shoe_Sales[[#This Row],[Product]],products!$A$1:$C$9,2,FALSE)</f>
        <v>112</v>
      </c>
      <c r="L175">
        <f>Shoe_Sales[[#This Row],[Cost Price]]*Shoe_Sales[[#This Row],[Quantity]]</f>
        <v>128</v>
      </c>
      <c r="M175">
        <f>Shoe_Sales[[#This Row],[Selling Price]]*Shoe_Sales[[#This Row],[Quantity]]</f>
        <v>224</v>
      </c>
      <c r="N175">
        <f>Shoe_Sales[[#This Row],[Revenue]]-Shoe_Sales[[#This Row],[Cost]]</f>
        <v>96</v>
      </c>
      <c r="O175" s="3">
        <f>Shoe_Sales[[#This Row],[Profit]]/Shoe_Sales[[#This Row],[Revenue]]</f>
        <v>0.42857142857142855</v>
      </c>
    </row>
    <row r="176" spans="1:15" x14ac:dyDescent="0.35">
      <c r="A176" s="2" t="s">
        <v>225</v>
      </c>
      <c r="B176" s="2">
        <v>46106</v>
      </c>
      <c r="C176" t="s">
        <v>41</v>
      </c>
      <c r="D176" t="s">
        <v>10</v>
      </c>
      <c r="E176" t="s">
        <v>20</v>
      </c>
      <c r="F176" t="s">
        <v>8</v>
      </c>
      <c r="G176" t="s">
        <v>24</v>
      </c>
      <c r="H176">
        <v>1</v>
      </c>
      <c r="I176" t="s">
        <v>46</v>
      </c>
      <c r="J176">
        <f>VLOOKUP(Shoe_Sales[[#This Row],[Product]],products!$A$1:$C$9,3,0)</f>
        <v>39</v>
      </c>
      <c r="K176">
        <f>VLOOKUP(Shoe_Sales[[#This Row],[Product]],products!$A$1:$C$9,2,FALSE)</f>
        <v>76</v>
      </c>
      <c r="L176">
        <f>Shoe_Sales[[#This Row],[Cost Price]]*Shoe_Sales[[#This Row],[Quantity]]</f>
        <v>39</v>
      </c>
      <c r="M176">
        <f>Shoe_Sales[[#This Row],[Selling Price]]*Shoe_Sales[[#This Row],[Quantity]]</f>
        <v>76</v>
      </c>
      <c r="N176">
        <f>Shoe_Sales[[#This Row],[Revenue]]-Shoe_Sales[[#This Row],[Cost]]</f>
        <v>37</v>
      </c>
      <c r="O176" s="3">
        <f>Shoe_Sales[[#This Row],[Profit]]/Shoe_Sales[[#This Row],[Revenue]]</f>
        <v>0.48684210526315791</v>
      </c>
    </row>
    <row r="177" spans="1:15" x14ac:dyDescent="0.35">
      <c r="A177" s="2" t="s">
        <v>226</v>
      </c>
      <c r="B177" s="2">
        <v>46106</v>
      </c>
      <c r="C177" t="s">
        <v>27</v>
      </c>
      <c r="D177" t="s">
        <v>25</v>
      </c>
      <c r="E177" t="s">
        <v>16</v>
      </c>
      <c r="F177" t="s">
        <v>35</v>
      </c>
      <c r="G177" t="s">
        <v>18</v>
      </c>
      <c r="H177">
        <v>15</v>
      </c>
      <c r="I177" t="s">
        <v>47</v>
      </c>
      <c r="J177">
        <f>VLOOKUP(Shoe_Sales[[#This Row],[Product]],products!$A$1:$C$9,3,0)</f>
        <v>14</v>
      </c>
      <c r="K177">
        <f>VLOOKUP(Shoe_Sales[[#This Row],[Product]],products!$A$1:$C$9,2,FALSE)</f>
        <v>32</v>
      </c>
      <c r="L177">
        <f>Shoe_Sales[[#This Row],[Cost Price]]*Shoe_Sales[[#This Row],[Quantity]]</f>
        <v>210</v>
      </c>
      <c r="M177">
        <f>Shoe_Sales[[#This Row],[Selling Price]]*Shoe_Sales[[#This Row],[Quantity]]</f>
        <v>480</v>
      </c>
      <c r="N177">
        <f>Shoe_Sales[[#This Row],[Revenue]]-Shoe_Sales[[#This Row],[Cost]]</f>
        <v>270</v>
      </c>
      <c r="O177" s="3">
        <f>Shoe_Sales[[#This Row],[Profit]]/Shoe_Sales[[#This Row],[Revenue]]</f>
        <v>0.5625</v>
      </c>
    </row>
    <row r="178" spans="1:15" x14ac:dyDescent="0.35">
      <c r="A178" s="2" t="s">
        <v>227</v>
      </c>
      <c r="B178" s="2">
        <v>46107</v>
      </c>
      <c r="C178" t="s">
        <v>38</v>
      </c>
      <c r="D178" t="s">
        <v>19</v>
      </c>
      <c r="E178" t="s">
        <v>11</v>
      </c>
      <c r="F178" t="s">
        <v>17</v>
      </c>
      <c r="G178" t="s">
        <v>12</v>
      </c>
      <c r="H178">
        <v>14</v>
      </c>
      <c r="I178" t="s">
        <v>46</v>
      </c>
      <c r="J178">
        <f>VLOOKUP(Shoe_Sales[[#This Row],[Product]],products!$A$1:$C$9,3,0)</f>
        <v>64</v>
      </c>
      <c r="K178">
        <f>VLOOKUP(Shoe_Sales[[#This Row],[Product]],products!$A$1:$C$9,2,FALSE)</f>
        <v>112</v>
      </c>
      <c r="L178">
        <f>Shoe_Sales[[#This Row],[Cost Price]]*Shoe_Sales[[#This Row],[Quantity]]</f>
        <v>896</v>
      </c>
      <c r="M178">
        <f>Shoe_Sales[[#This Row],[Selling Price]]*Shoe_Sales[[#This Row],[Quantity]]</f>
        <v>1568</v>
      </c>
      <c r="N178">
        <f>Shoe_Sales[[#This Row],[Revenue]]-Shoe_Sales[[#This Row],[Cost]]</f>
        <v>672</v>
      </c>
      <c r="O178" s="3">
        <f>Shoe_Sales[[#This Row],[Profit]]/Shoe_Sales[[#This Row],[Revenue]]</f>
        <v>0.42857142857142855</v>
      </c>
    </row>
    <row r="179" spans="1:15" x14ac:dyDescent="0.35">
      <c r="A179" s="2" t="s">
        <v>228</v>
      </c>
      <c r="B179" s="2">
        <v>46108</v>
      </c>
      <c r="C179" t="s">
        <v>41</v>
      </c>
      <c r="D179" t="s">
        <v>10</v>
      </c>
      <c r="E179" t="s">
        <v>14</v>
      </c>
      <c r="F179" t="s">
        <v>8</v>
      </c>
      <c r="G179" t="s">
        <v>32</v>
      </c>
      <c r="H179">
        <v>2</v>
      </c>
      <c r="I179" t="s">
        <v>48</v>
      </c>
      <c r="J179">
        <f>VLOOKUP(Shoe_Sales[[#This Row],[Product]],products!$A$1:$C$9,3,0)</f>
        <v>39</v>
      </c>
      <c r="K179">
        <f>VLOOKUP(Shoe_Sales[[#This Row],[Product]],products!$A$1:$C$9,2,FALSE)</f>
        <v>76</v>
      </c>
      <c r="L179">
        <f>Shoe_Sales[[#This Row],[Cost Price]]*Shoe_Sales[[#This Row],[Quantity]]</f>
        <v>78</v>
      </c>
      <c r="M179">
        <f>Shoe_Sales[[#This Row],[Selling Price]]*Shoe_Sales[[#This Row],[Quantity]]</f>
        <v>152</v>
      </c>
      <c r="N179">
        <f>Shoe_Sales[[#This Row],[Revenue]]-Shoe_Sales[[#This Row],[Cost]]</f>
        <v>74</v>
      </c>
      <c r="O179" s="3">
        <f>Shoe_Sales[[#This Row],[Profit]]/Shoe_Sales[[#This Row],[Revenue]]</f>
        <v>0.48684210526315791</v>
      </c>
    </row>
    <row r="180" spans="1:15" x14ac:dyDescent="0.35">
      <c r="A180" s="2" t="s">
        <v>229</v>
      </c>
      <c r="B180" s="2">
        <v>46108</v>
      </c>
      <c r="C180" t="s">
        <v>42</v>
      </c>
      <c r="D180" t="s">
        <v>10</v>
      </c>
      <c r="E180" t="s">
        <v>20</v>
      </c>
      <c r="F180" t="s">
        <v>40</v>
      </c>
      <c r="G180" t="s">
        <v>18</v>
      </c>
      <c r="H180">
        <v>5</v>
      </c>
      <c r="I180" t="s">
        <v>45</v>
      </c>
      <c r="J180">
        <f>VLOOKUP(Shoe_Sales[[#This Row],[Product]],products!$A$1:$C$9,3,0)</f>
        <v>47</v>
      </c>
      <c r="K180">
        <f>VLOOKUP(Shoe_Sales[[#This Row],[Product]],products!$A$1:$C$9,2,FALSE)</f>
        <v>89</v>
      </c>
      <c r="L180">
        <f>Shoe_Sales[[#This Row],[Cost Price]]*Shoe_Sales[[#This Row],[Quantity]]</f>
        <v>235</v>
      </c>
      <c r="M180">
        <f>Shoe_Sales[[#This Row],[Selling Price]]*Shoe_Sales[[#This Row],[Quantity]]</f>
        <v>445</v>
      </c>
      <c r="N180">
        <f>Shoe_Sales[[#This Row],[Revenue]]-Shoe_Sales[[#This Row],[Cost]]</f>
        <v>210</v>
      </c>
      <c r="O180" s="3">
        <f>Shoe_Sales[[#This Row],[Profit]]/Shoe_Sales[[#This Row],[Revenue]]</f>
        <v>0.47191011235955055</v>
      </c>
    </row>
    <row r="181" spans="1:15" x14ac:dyDescent="0.35">
      <c r="A181" s="2" t="s">
        <v>230</v>
      </c>
      <c r="B181" s="2">
        <v>46109</v>
      </c>
      <c r="C181" t="s">
        <v>39</v>
      </c>
      <c r="D181" t="s">
        <v>25</v>
      </c>
      <c r="E181" t="s">
        <v>14</v>
      </c>
      <c r="F181" t="s">
        <v>40</v>
      </c>
      <c r="G181" t="s">
        <v>37</v>
      </c>
      <c r="H181">
        <v>4</v>
      </c>
      <c r="I181" t="s">
        <v>45</v>
      </c>
      <c r="J181">
        <f>VLOOKUP(Shoe_Sales[[#This Row],[Product]],products!$A$1:$C$9,3,0)</f>
        <v>72</v>
      </c>
      <c r="K181">
        <f>VLOOKUP(Shoe_Sales[[#This Row],[Product]],products!$A$1:$C$9,2,FALSE)</f>
        <v>128</v>
      </c>
      <c r="L181">
        <f>Shoe_Sales[[#This Row],[Cost Price]]*Shoe_Sales[[#This Row],[Quantity]]</f>
        <v>288</v>
      </c>
      <c r="M181">
        <f>Shoe_Sales[[#This Row],[Selling Price]]*Shoe_Sales[[#This Row],[Quantity]]</f>
        <v>512</v>
      </c>
      <c r="N181">
        <f>Shoe_Sales[[#This Row],[Revenue]]-Shoe_Sales[[#This Row],[Cost]]</f>
        <v>224</v>
      </c>
      <c r="O181" s="3">
        <f>Shoe_Sales[[#This Row],[Profit]]/Shoe_Sales[[#This Row],[Revenue]]</f>
        <v>0.4375</v>
      </c>
    </row>
    <row r="182" spans="1:15" x14ac:dyDescent="0.35">
      <c r="A182" s="2" t="s">
        <v>231</v>
      </c>
      <c r="B182" s="2">
        <v>46109</v>
      </c>
      <c r="C182" t="s">
        <v>39</v>
      </c>
      <c r="D182" t="s">
        <v>31</v>
      </c>
      <c r="E182" t="s">
        <v>20</v>
      </c>
      <c r="F182" t="s">
        <v>8</v>
      </c>
      <c r="G182" t="s">
        <v>36</v>
      </c>
      <c r="H182">
        <v>13</v>
      </c>
      <c r="I182" t="s">
        <v>45</v>
      </c>
      <c r="J182">
        <f>VLOOKUP(Shoe_Sales[[#This Row],[Product]],products!$A$1:$C$9,3,0)</f>
        <v>72</v>
      </c>
      <c r="K182">
        <f>VLOOKUP(Shoe_Sales[[#This Row],[Product]],products!$A$1:$C$9,2,FALSE)</f>
        <v>128</v>
      </c>
      <c r="L182">
        <f>Shoe_Sales[[#This Row],[Cost Price]]*Shoe_Sales[[#This Row],[Quantity]]</f>
        <v>936</v>
      </c>
      <c r="M182">
        <f>Shoe_Sales[[#This Row],[Selling Price]]*Shoe_Sales[[#This Row],[Quantity]]</f>
        <v>1664</v>
      </c>
      <c r="N182">
        <f>Shoe_Sales[[#This Row],[Revenue]]-Shoe_Sales[[#This Row],[Cost]]</f>
        <v>728</v>
      </c>
      <c r="O182" s="3">
        <f>Shoe_Sales[[#This Row],[Profit]]/Shoe_Sales[[#This Row],[Revenue]]</f>
        <v>0.4375</v>
      </c>
    </row>
    <row r="183" spans="1:15" x14ac:dyDescent="0.35">
      <c r="A183" s="2" t="s">
        <v>232</v>
      </c>
      <c r="B183" s="2">
        <v>46109</v>
      </c>
      <c r="C183" t="s">
        <v>33</v>
      </c>
      <c r="D183" t="s">
        <v>10</v>
      </c>
      <c r="E183" t="s">
        <v>7</v>
      </c>
      <c r="F183" t="s">
        <v>35</v>
      </c>
      <c r="G183" t="s">
        <v>23</v>
      </c>
      <c r="H183">
        <v>3</v>
      </c>
      <c r="I183" t="s">
        <v>45</v>
      </c>
      <c r="J183">
        <f>VLOOKUP(Shoe_Sales[[#This Row],[Product]],products!$A$1:$C$9,3,0)</f>
        <v>28</v>
      </c>
      <c r="K183">
        <f>VLOOKUP(Shoe_Sales[[#This Row],[Product]],products!$A$1:$C$9,2,FALSE)</f>
        <v>54</v>
      </c>
      <c r="L183">
        <f>Shoe_Sales[[#This Row],[Cost Price]]*Shoe_Sales[[#This Row],[Quantity]]</f>
        <v>84</v>
      </c>
      <c r="M183">
        <f>Shoe_Sales[[#This Row],[Selling Price]]*Shoe_Sales[[#This Row],[Quantity]]</f>
        <v>162</v>
      </c>
      <c r="N183">
        <f>Shoe_Sales[[#This Row],[Revenue]]-Shoe_Sales[[#This Row],[Cost]]</f>
        <v>78</v>
      </c>
      <c r="O183" s="3">
        <f>Shoe_Sales[[#This Row],[Profit]]/Shoe_Sales[[#This Row],[Revenue]]</f>
        <v>0.48148148148148145</v>
      </c>
    </row>
    <row r="184" spans="1:15" x14ac:dyDescent="0.35">
      <c r="A184" s="2" t="s">
        <v>233</v>
      </c>
      <c r="B184" s="2">
        <v>46109</v>
      </c>
      <c r="C184" t="s">
        <v>27</v>
      </c>
      <c r="D184" t="s">
        <v>25</v>
      </c>
      <c r="E184" t="s">
        <v>7</v>
      </c>
      <c r="F184" t="s">
        <v>29</v>
      </c>
      <c r="G184" t="s">
        <v>26</v>
      </c>
      <c r="H184">
        <v>3</v>
      </c>
      <c r="I184" t="s">
        <v>47</v>
      </c>
      <c r="J184">
        <f>VLOOKUP(Shoe_Sales[[#This Row],[Product]],products!$A$1:$C$9,3,0)</f>
        <v>14</v>
      </c>
      <c r="K184">
        <f>VLOOKUP(Shoe_Sales[[#This Row],[Product]],products!$A$1:$C$9,2,FALSE)</f>
        <v>32</v>
      </c>
      <c r="L184">
        <f>Shoe_Sales[[#This Row],[Cost Price]]*Shoe_Sales[[#This Row],[Quantity]]</f>
        <v>42</v>
      </c>
      <c r="M184">
        <f>Shoe_Sales[[#This Row],[Selling Price]]*Shoe_Sales[[#This Row],[Quantity]]</f>
        <v>96</v>
      </c>
      <c r="N184">
        <f>Shoe_Sales[[#This Row],[Revenue]]-Shoe_Sales[[#This Row],[Cost]]</f>
        <v>54</v>
      </c>
      <c r="O184" s="3">
        <f>Shoe_Sales[[#This Row],[Profit]]/Shoe_Sales[[#This Row],[Revenue]]</f>
        <v>0.5625</v>
      </c>
    </row>
    <row r="185" spans="1:15" x14ac:dyDescent="0.35">
      <c r="A185" s="2" t="s">
        <v>234</v>
      </c>
      <c r="B185" s="2">
        <v>46110</v>
      </c>
      <c r="C185" t="s">
        <v>33</v>
      </c>
      <c r="D185" t="s">
        <v>25</v>
      </c>
      <c r="E185" t="s">
        <v>7</v>
      </c>
      <c r="F185" t="s">
        <v>17</v>
      </c>
      <c r="G185" t="s">
        <v>21</v>
      </c>
      <c r="H185">
        <v>6</v>
      </c>
      <c r="I185" t="s">
        <v>46</v>
      </c>
      <c r="J185">
        <f>VLOOKUP(Shoe_Sales[[#This Row],[Product]],products!$A$1:$C$9,3,0)</f>
        <v>28</v>
      </c>
      <c r="K185">
        <f>VLOOKUP(Shoe_Sales[[#This Row],[Product]],products!$A$1:$C$9,2,FALSE)</f>
        <v>54</v>
      </c>
      <c r="L185">
        <f>Shoe_Sales[[#This Row],[Cost Price]]*Shoe_Sales[[#This Row],[Quantity]]</f>
        <v>168</v>
      </c>
      <c r="M185">
        <f>Shoe_Sales[[#This Row],[Selling Price]]*Shoe_Sales[[#This Row],[Quantity]]</f>
        <v>324</v>
      </c>
      <c r="N185">
        <f>Shoe_Sales[[#This Row],[Revenue]]-Shoe_Sales[[#This Row],[Cost]]</f>
        <v>156</v>
      </c>
      <c r="O185" s="3">
        <f>Shoe_Sales[[#This Row],[Profit]]/Shoe_Sales[[#This Row],[Revenue]]</f>
        <v>0.48148148148148145</v>
      </c>
    </row>
    <row r="186" spans="1:15" x14ac:dyDescent="0.35">
      <c r="A186" s="2" t="s">
        <v>235</v>
      </c>
      <c r="B186" s="2">
        <v>46110</v>
      </c>
      <c r="C186" t="s">
        <v>13</v>
      </c>
      <c r="D186" t="s">
        <v>31</v>
      </c>
      <c r="E186" t="s">
        <v>20</v>
      </c>
      <c r="F186" t="s">
        <v>8</v>
      </c>
      <c r="G186" t="s">
        <v>12</v>
      </c>
      <c r="H186">
        <v>3</v>
      </c>
      <c r="I186" t="s">
        <v>47</v>
      </c>
      <c r="J186">
        <f>VLOOKUP(Shoe_Sales[[#This Row],[Product]],products!$A$1:$C$9,3,0)</f>
        <v>67</v>
      </c>
      <c r="K186">
        <f>VLOOKUP(Shoe_Sales[[#This Row],[Product]],products!$A$1:$C$9,2,FALSE)</f>
        <v>119</v>
      </c>
      <c r="L186">
        <f>Shoe_Sales[[#This Row],[Cost Price]]*Shoe_Sales[[#This Row],[Quantity]]</f>
        <v>201</v>
      </c>
      <c r="M186">
        <f>Shoe_Sales[[#This Row],[Selling Price]]*Shoe_Sales[[#This Row],[Quantity]]</f>
        <v>357</v>
      </c>
      <c r="N186">
        <f>Shoe_Sales[[#This Row],[Revenue]]-Shoe_Sales[[#This Row],[Cost]]</f>
        <v>156</v>
      </c>
      <c r="O186" s="3">
        <f>Shoe_Sales[[#This Row],[Profit]]/Shoe_Sales[[#This Row],[Revenue]]</f>
        <v>0.43697478991596639</v>
      </c>
    </row>
    <row r="187" spans="1:15" x14ac:dyDescent="0.35">
      <c r="A187" s="2" t="s">
        <v>236</v>
      </c>
      <c r="B187" s="2">
        <v>46110</v>
      </c>
      <c r="C187" t="s">
        <v>22</v>
      </c>
      <c r="D187" t="s">
        <v>19</v>
      </c>
      <c r="E187" t="s">
        <v>11</v>
      </c>
      <c r="F187" t="s">
        <v>29</v>
      </c>
      <c r="G187" t="s">
        <v>15</v>
      </c>
      <c r="H187">
        <v>5</v>
      </c>
      <c r="I187" t="s">
        <v>46</v>
      </c>
      <c r="J187">
        <f>VLOOKUP(Shoe_Sales[[#This Row],[Product]],products!$A$1:$C$9,3,0)</f>
        <v>58</v>
      </c>
      <c r="K187">
        <f>VLOOKUP(Shoe_Sales[[#This Row],[Product]],products!$A$1:$C$9,2,FALSE)</f>
        <v>105</v>
      </c>
      <c r="L187">
        <f>Shoe_Sales[[#This Row],[Cost Price]]*Shoe_Sales[[#This Row],[Quantity]]</f>
        <v>290</v>
      </c>
      <c r="M187">
        <f>Shoe_Sales[[#This Row],[Selling Price]]*Shoe_Sales[[#This Row],[Quantity]]</f>
        <v>525</v>
      </c>
      <c r="N187">
        <f>Shoe_Sales[[#This Row],[Revenue]]-Shoe_Sales[[#This Row],[Cost]]</f>
        <v>235</v>
      </c>
      <c r="O187" s="3">
        <f>Shoe_Sales[[#This Row],[Profit]]/Shoe_Sales[[#This Row],[Revenue]]</f>
        <v>0.44761904761904764</v>
      </c>
    </row>
    <row r="188" spans="1:15" x14ac:dyDescent="0.35">
      <c r="A188" s="2" t="s">
        <v>237</v>
      </c>
      <c r="B188" s="2">
        <v>46111</v>
      </c>
      <c r="C188" t="s">
        <v>13</v>
      </c>
      <c r="D188" t="s">
        <v>19</v>
      </c>
      <c r="E188" t="s">
        <v>20</v>
      </c>
      <c r="F188" t="s">
        <v>17</v>
      </c>
      <c r="G188" t="s">
        <v>15</v>
      </c>
      <c r="H188">
        <v>14</v>
      </c>
      <c r="I188" t="s">
        <v>45</v>
      </c>
      <c r="J188">
        <f>VLOOKUP(Shoe_Sales[[#This Row],[Product]],products!$A$1:$C$9,3,0)</f>
        <v>67</v>
      </c>
      <c r="K188">
        <f>VLOOKUP(Shoe_Sales[[#This Row],[Product]],products!$A$1:$C$9,2,FALSE)</f>
        <v>119</v>
      </c>
      <c r="L188">
        <f>Shoe_Sales[[#This Row],[Cost Price]]*Shoe_Sales[[#This Row],[Quantity]]</f>
        <v>938</v>
      </c>
      <c r="M188">
        <f>Shoe_Sales[[#This Row],[Selling Price]]*Shoe_Sales[[#This Row],[Quantity]]</f>
        <v>1666</v>
      </c>
      <c r="N188">
        <f>Shoe_Sales[[#This Row],[Revenue]]-Shoe_Sales[[#This Row],[Cost]]</f>
        <v>728</v>
      </c>
      <c r="O188" s="3">
        <f>Shoe_Sales[[#This Row],[Profit]]/Shoe_Sales[[#This Row],[Revenue]]</f>
        <v>0.43697478991596639</v>
      </c>
    </row>
    <row r="189" spans="1:15" x14ac:dyDescent="0.35">
      <c r="A189" s="2" t="s">
        <v>238</v>
      </c>
      <c r="B189" s="2">
        <v>46111</v>
      </c>
      <c r="C189" t="s">
        <v>38</v>
      </c>
      <c r="D189" t="s">
        <v>25</v>
      </c>
      <c r="E189" t="s">
        <v>7</v>
      </c>
      <c r="F189" t="s">
        <v>40</v>
      </c>
      <c r="G189" t="s">
        <v>30</v>
      </c>
      <c r="H189">
        <v>10</v>
      </c>
      <c r="I189" t="s">
        <v>45</v>
      </c>
      <c r="J189">
        <f>VLOOKUP(Shoe_Sales[[#This Row],[Product]],products!$A$1:$C$9,3,0)</f>
        <v>64</v>
      </c>
      <c r="K189">
        <f>VLOOKUP(Shoe_Sales[[#This Row],[Product]],products!$A$1:$C$9,2,FALSE)</f>
        <v>112</v>
      </c>
      <c r="L189">
        <f>Shoe_Sales[[#This Row],[Cost Price]]*Shoe_Sales[[#This Row],[Quantity]]</f>
        <v>640</v>
      </c>
      <c r="M189">
        <f>Shoe_Sales[[#This Row],[Selling Price]]*Shoe_Sales[[#This Row],[Quantity]]</f>
        <v>1120</v>
      </c>
      <c r="N189">
        <f>Shoe_Sales[[#This Row],[Revenue]]-Shoe_Sales[[#This Row],[Cost]]</f>
        <v>480</v>
      </c>
      <c r="O189" s="3">
        <f>Shoe_Sales[[#This Row],[Profit]]/Shoe_Sales[[#This Row],[Revenue]]</f>
        <v>0.42857142857142855</v>
      </c>
    </row>
    <row r="190" spans="1:15" x14ac:dyDescent="0.35">
      <c r="A190" s="2" t="s">
        <v>239</v>
      </c>
      <c r="B190" s="2">
        <v>46111</v>
      </c>
      <c r="C190" t="s">
        <v>38</v>
      </c>
      <c r="D190" t="s">
        <v>31</v>
      </c>
      <c r="E190" t="s">
        <v>16</v>
      </c>
      <c r="F190" t="s">
        <v>35</v>
      </c>
      <c r="G190" t="s">
        <v>28</v>
      </c>
      <c r="H190">
        <v>4</v>
      </c>
      <c r="I190" t="s">
        <v>45</v>
      </c>
      <c r="J190">
        <f>VLOOKUP(Shoe_Sales[[#This Row],[Product]],products!$A$1:$C$9,3,0)</f>
        <v>64</v>
      </c>
      <c r="K190">
        <f>VLOOKUP(Shoe_Sales[[#This Row],[Product]],products!$A$1:$C$9,2,FALSE)</f>
        <v>112</v>
      </c>
      <c r="L190">
        <f>Shoe_Sales[[#This Row],[Cost Price]]*Shoe_Sales[[#This Row],[Quantity]]</f>
        <v>256</v>
      </c>
      <c r="M190">
        <f>Shoe_Sales[[#This Row],[Selling Price]]*Shoe_Sales[[#This Row],[Quantity]]</f>
        <v>448</v>
      </c>
      <c r="N190">
        <f>Shoe_Sales[[#This Row],[Revenue]]-Shoe_Sales[[#This Row],[Cost]]</f>
        <v>192</v>
      </c>
      <c r="O190" s="3">
        <f>Shoe_Sales[[#This Row],[Profit]]/Shoe_Sales[[#This Row],[Revenue]]</f>
        <v>0.42857142857142855</v>
      </c>
    </row>
    <row r="191" spans="1:15" x14ac:dyDescent="0.35">
      <c r="A191" s="2" t="s">
        <v>240</v>
      </c>
      <c r="B191" s="2">
        <v>46112</v>
      </c>
      <c r="C191" t="s">
        <v>42</v>
      </c>
      <c r="D191" t="s">
        <v>10</v>
      </c>
      <c r="E191" t="s">
        <v>16</v>
      </c>
      <c r="F191" t="s">
        <v>40</v>
      </c>
      <c r="G191" t="s">
        <v>24</v>
      </c>
      <c r="H191">
        <v>9</v>
      </c>
      <c r="I191" t="s">
        <v>47</v>
      </c>
      <c r="J191">
        <f>VLOOKUP(Shoe_Sales[[#This Row],[Product]],products!$A$1:$C$9,3,0)</f>
        <v>47</v>
      </c>
      <c r="K191">
        <f>VLOOKUP(Shoe_Sales[[#This Row],[Product]],products!$A$1:$C$9,2,FALSE)</f>
        <v>89</v>
      </c>
      <c r="L191">
        <f>Shoe_Sales[[#This Row],[Cost Price]]*Shoe_Sales[[#This Row],[Quantity]]</f>
        <v>423</v>
      </c>
      <c r="M191">
        <f>Shoe_Sales[[#This Row],[Selling Price]]*Shoe_Sales[[#This Row],[Quantity]]</f>
        <v>801</v>
      </c>
      <c r="N191">
        <f>Shoe_Sales[[#This Row],[Revenue]]-Shoe_Sales[[#This Row],[Cost]]</f>
        <v>378</v>
      </c>
      <c r="O191" s="3">
        <f>Shoe_Sales[[#This Row],[Profit]]/Shoe_Sales[[#This Row],[Revenue]]</f>
        <v>0.47191011235955055</v>
      </c>
    </row>
    <row r="192" spans="1:15" x14ac:dyDescent="0.35">
      <c r="A192" s="2" t="s">
        <v>241</v>
      </c>
      <c r="B192" s="2">
        <v>46112</v>
      </c>
      <c r="C192" t="s">
        <v>27</v>
      </c>
      <c r="D192" t="s">
        <v>31</v>
      </c>
      <c r="E192" t="s">
        <v>20</v>
      </c>
      <c r="F192" t="s">
        <v>17</v>
      </c>
      <c r="G192" t="s">
        <v>24</v>
      </c>
      <c r="H192">
        <v>7</v>
      </c>
      <c r="I192" t="s">
        <v>47</v>
      </c>
      <c r="J192">
        <f>VLOOKUP(Shoe_Sales[[#This Row],[Product]],products!$A$1:$C$9,3,0)</f>
        <v>14</v>
      </c>
      <c r="K192">
        <f>VLOOKUP(Shoe_Sales[[#This Row],[Product]],products!$A$1:$C$9,2,FALSE)</f>
        <v>32</v>
      </c>
      <c r="L192">
        <f>Shoe_Sales[[#This Row],[Cost Price]]*Shoe_Sales[[#This Row],[Quantity]]</f>
        <v>98</v>
      </c>
      <c r="M192">
        <f>Shoe_Sales[[#This Row],[Selling Price]]*Shoe_Sales[[#This Row],[Quantity]]</f>
        <v>224</v>
      </c>
      <c r="N192">
        <f>Shoe_Sales[[#This Row],[Revenue]]-Shoe_Sales[[#This Row],[Cost]]</f>
        <v>126</v>
      </c>
      <c r="O192" s="3">
        <f>Shoe_Sales[[#This Row],[Profit]]/Shoe_Sales[[#This Row],[Revenue]]</f>
        <v>0.5625</v>
      </c>
    </row>
    <row r="193" spans="1:15" x14ac:dyDescent="0.35">
      <c r="A193" s="2" t="s">
        <v>242</v>
      </c>
      <c r="B193" s="2">
        <v>46112</v>
      </c>
      <c r="C193" t="s">
        <v>39</v>
      </c>
      <c r="D193" t="s">
        <v>25</v>
      </c>
      <c r="E193" t="s">
        <v>14</v>
      </c>
      <c r="F193" t="s">
        <v>40</v>
      </c>
      <c r="G193" t="s">
        <v>30</v>
      </c>
      <c r="H193">
        <v>13</v>
      </c>
      <c r="I193" t="s">
        <v>45</v>
      </c>
      <c r="J193">
        <f>VLOOKUP(Shoe_Sales[[#This Row],[Product]],products!$A$1:$C$9,3,0)</f>
        <v>72</v>
      </c>
      <c r="K193">
        <f>VLOOKUP(Shoe_Sales[[#This Row],[Product]],products!$A$1:$C$9,2,FALSE)</f>
        <v>128</v>
      </c>
      <c r="L193">
        <f>Shoe_Sales[[#This Row],[Cost Price]]*Shoe_Sales[[#This Row],[Quantity]]</f>
        <v>936</v>
      </c>
      <c r="M193">
        <f>Shoe_Sales[[#This Row],[Selling Price]]*Shoe_Sales[[#This Row],[Quantity]]</f>
        <v>1664</v>
      </c>
      <c r="N193">
        <f>Shoe_Sales[[#This Row],[Revenue]]-Shoe_Sales[[#This Row],[Cost]]</f>
        <v>728</v>
      </c>
      <c r="O193" s="3">
        <f>Shoe_Sales[[#This Row],[Profit]]/Shoe_Sales[[#This Row],[Revenue]]</f>
        <v>0.4375</v>
      </c>
    </row>
    <row r="194" spans="1:15" x14ac:dyDescent="0.35">
      <c r="A194" s="2" t="s">
        <v>243</v>
      </c>
      <c r="B194" s="2">
        <v>46112</v>
      </c>
      <c r="C194" t="s">
        <v>22</v>
      </c>
      <c r="D194" t="s">
        <v>10</v>
      </c>
      <c r="E194" t="s">
        <v>20</v>
      </c>
      <c r="F194" t="s">
        <v>29</v>
      </c>
      <c r="G194" t="s">
        <v>26</v>
      </c>
      <c r="H194">
        <v>5</v>
      </c>
      <c r="I194" t="s">
        <v>45</v>
      </c>
      <c r="J194">
        <f>VLOOKUP(Shoe_Sales[[#This Row],[Product]],products!$A$1:$C$9,3,0)</f>
        <v>58</v>
      </c>
      <c r="K194">
        <f>VLOOKUP(Shoe_Sales[[#This Row],[Product]],products!$A$1:$C$9,2,FALSE)</f>
        <v>105</v>
      </c>
      <c r="L194">
        <f>Shoe_Sales[[#This Row],[Cost Price]]*Shoe_Sales[[#This Row],[Quantity]]</f>
        <v>290</v>
      </c>
      <c r="M194">
        <f>Shoe_Sales[[#This Row],[Selling Price]]*Shoe_Sales[[#This Row],[Quantity]]</f>
        <v>525</v>
      </c>
      <c r="N194">
        <f>Shoe_Sales[[#This Row],[Revenue]]-Shoe_Sales[[#This Row],[Cost]]</f>
        <v>235</v>
      </c>
      <c r="O194" s="3">
        <f>Shoe_Sales[[#This Row],[Profit]]/Shoe_Sales[[#This Row],[Revenue]]</f>
        <v>0.44761904761904764</v>
      </c>
    </row>
    <row r="195" spans="1:15" x14ac:dyDescent="0.35">
      <c r="A195" s="2" t="s">
        <v>244</v>
      </c>
      <c r="B195" s="2">
        <v>46112</v>
      </c>
      <c r="C195" t="s">
        <v>22</v>
      </c>
      <c r="D195" t="s">
        <v>31</v>
      </c>
      <c r="E195" t="s">
        <v>7</v>
      </c>
      <c r="F195" t="s">
        <v>8</v>
      </c>
      <c r="G195" t="s">
        <v>18</v>
      </c>
      <c r="H195">
        <v>11</v>
      </c>
      <c r="I195" t="s">
        <v>47</v>
      </c>
      <c r="J195">
        <f>VLOOKUP(Shoe_Sales[[#This Row],[Product]],products!$A$1:$C$9,3,0)</f>
        <v>58</v>
      </c>
      <c r="K195">
        <f>VLOOKUP(Shoe_Sales[[#This Row],[Product]],products!$A$1:$C$9,2,FALSE)</f>
        <v>105</v>
      </c>
      <c r="L195">
        <f>Shoe_Sales[[#This Row],[Cost Price]]*Shoe_Sales[[#This Row],[Quantity]]</f>
        <v>638</v>
      </c>
      <c r="M195">
        <f>Shoe_Sales[[#This Row],[Selling Price]]*Shoe_Sales[[#This Row],[Quantity]]</f>
        <v>1155</v>
      </c>
      <c r="N195">
        <f>Shoe_Sales[[#This Row],[Revenue]]-Shoe_Sales[[#This Row],[Cost]]</f>
        <v>517</v>
      </c>
      <c r="O195" s="3">
        <f>Shoe_Sales[[#This Row],[Profit]]/Shoe_Sales[[#This Row],[Revenue]]</f>
        <v>0.44761904761904764</v>
      </c>
    </row>
    <row r="196" spans="1:15" x14ac:dyDescent="0.35">
      <c r="A196" s="2" t="s">
        <v>245</v>
      </c>
      <c r="B196" s="2">
        <v>46114</v>
      </c>
      <c r="C196" t="s">
        <v>42</v>
      </c>
      <c r="D196" t="s">
        <v>10</v>
      </c>
      <c r="E196" t="s">
        <v>7</v>
      </c>
      <c r="F196" t="s">
        <v>8</v>
      </c>
      <c r="G196" t="s">
        <v>34</v>
      </c>
      <c r="H196">
        <v>5</v>
      </c>
      <c r="I196" t="s">
        <v>46</v>
      </c>
      <c r="J196">
        <f>VLOOKUP(Shoe_Sales[[#This Row],[Product]],products!$A$1:$C$9,3,0)</f>
        <v>47</v>
      </c>
      <c r="K196">
        <f>VLOOKUP(Shoe_Sales[[#This Row],[Product]],products!$A$1:$C$9,2,FALSE)</f>
        <v>89</v>
      </c>
      <c r="L196">
        <f>Shoe_Sales[[#This Row],[Cost Price]]*Shoe_Sales[[#This Row],[Quantity]]</f>
        <v>235</v>
      </c>
      <c r="M196">
        <f>Shoe_Sales[[#This Row],[Selling Price]]*Shoe_Sales[[#This Row],[Quantity]]</f>
        <v>445</v>
      </c>
      <c r="N196">
        <f>Shoe_Sales[[#This Row],[Revenue]]-Shoe_Sales[[#This Row],[Cost]]</f>
        <v>210</v>
      </c>
      <c r="O196" s="3">
        <f>Shoe_Sales[[#This Row],[Profit]]/Shoe_Sales[[#This Row],[Revenue]]</f>
        <v>0.47191011235955055</v>
      </c>
    </row>
    <row r="197" spans="1:15" x14ac:dyDescent="0.35">
      <c r="A197" s="2" t="s">
        <v>246</v>
      </c>
      <c r="B197" s="2">
        <v>46114</v>
      </c>
      <c r="C197" t="s">
        <v>33</v>
      </c>
      <c r="D197" t="s">
        <v>19</v>
      </c>
      <c r="E197" t="s">
        <v>20</v>
      </c>
      <c r="F197" t="s">
        <v>8</v>
      </c>
      <c r="G197" t="s">
        <v>21</v>
      </c>
      <c r="H197">
        <v>6</v>
      </c>
      <c r="I197" t="s">
        <v>46</v>
      </c>
      <c r="J197">
        <f>VLOOKUP(Shoe_Sales[[#This Row],[Product]],products!$A$1:$C$9,3,0)</f>
        <v>28</v>
      </c>
      <c r="K197">
        <f>VLOOKUP(Shoe_Sales[[#This Row],[Product]],products!$A$1:$C$9,2,FALSE)</f>
        <v>54</v>
      </c>
      <c r="L197">
        <f>Shoe_Sales[[#This Row],[Cost Price]]*Shoe_Sales[[#This Row],[Quantity]]</f>
        <v>168</v>
      </c>
      <c r="M197">
        <f>Shoe_Sales[[#This Row],[Selling Price]]*Shoe_Sales[[#This Row],[Quantity]]</f>
        <v>324</v>
      </c>
      <c r="N197">
        <f>Shoe_Sales[[#This Row],[Revenue]]-Shoe_Sales[[#This Row],[Cost]]</f>
        <v>156</v>
      </c>
      <c r="O197" s="3">
        <f>Shoe_Sales[[#This Row],[Profit]]/Shoe_Sales[[#This Row],[Revenue]]</f>
        <v>0.48148148148148145</v>
      </c>
    </row>
    <row r="198" spans="1:15" x14ac:dyDescent="0.35">
      <c r="A198" s="2" t="s">
        <v>247</v>
      </c>
      <c r="B198" s="2">
        <v>46117</v>
      </c>
      <c r="C198" t="s">
        <v>41</v>
      </c>
      <c r="D198" t="s">
        <v>25</v>
      </c>
      <c r="E198" t="s">
        <v>20</v>
      </c>
      <c r="F198" t="s">
        <v>17</v>
      </c>
      <c r="G198" t="s">
        <v>12</v>
      </c>
      <c r="H198">
        <v>4</v>
      </c>
      <c r="I198" t="s">
        <v>46</v>
      </c>
      <c r="J198">
        <f>VLOOKUP(Shoe_Sales[[#This Row],[Product]],products!$A$1:$C$9,3,0)</f>
        <v>39</v>
      </c>
      <c r="K198">
        <f>VLOOKUP(Shoe_Sales[[#This Row],[Product]],products!$A$1:$C$9,2,FALSE)</f>
        <v>76</v>
      </c>
      <c r="L198">
        <f>Shoe_Sales[[#This Row],[Cost Price]]*Shoe_Sales[[#This Row],[Quantity]]</f>
        <v>156</v>
      </c>
      <c r="M198">
        <f>Shoe_Sales[[#This Row],[Selling Price]]*Shoe_Sales[[#This Row],[Quantity]]</f>
        <v>304</v>
      </c>
      <c r="N198">
        <f>Shoe_Sales[[#This Row],[Revenue]]-Shoe_Sales[[#This Row],[Cost]]</f>
        <v>148</v>
      </c>
      <c r="O198" s="3">
        <f>Shoe_Sales[[#This Row],[Profit]]/Shoe_Sales[[#This Row],[Revenue]]</f>
        <v>0.48684210526315791</v>
      </c>
    </row>
    <row r="199" spans="1:15" x14ac:dyDescent="0.35">
      <c r="A199" s="2" t="s">
        <v>248</v>
      </c>
      <c r="B199" s="2">
        <v>46117</v>
      </c>
      <c r="C199" t="s">
        <v>42</v>
      </c>
      <c r="D199" t="s">
        <v>19</v>
      </c>
      <c r="E199" t="s">
        <v>14</v>
      </c>
      <c r="F199" t="s">
        <v>17</v>
      </c>
      <c r="G199" t="s">
        <v>23</v>
      </c>
      <c r="H199">
        <v>13</v>
      </c>
      <c r="I199" t="s">
        <v>48</v>
      </c>
      <c r="J199">
        <f>VLOOKUP(Shoe_Sales[[#This Row],[Product]],products!$A$1:$C$9,3,0)</f>
        <v>47</v>
      </c>
      <c r="K199">
        <f>VLOOKUP(Shoe_Sales[[#This Row],[Product]],products!$A$1:$C$9,2,FALSE)</f>
        <v>89</v>
      </c>
      <c r="L199">
        <f>Shoe_Sales[[#This Row],[Cost Price]]*Shoe_Sales[[#This Row],[Quantity]]</f>
        <v>611</v>
      </c>
      <c r="M199">
        <f>Shoe_Sales[[#This Row],[Selling Price]]*Shoe_Sales[[#This Row],[Quantity]]</f>
        <v>1157</v>
      </c>
      <c r="N199">
        <f>Shoe_Sales[[#This Row],[Revenue]]-Shoe_Sales[[#This Row],[Cost]]</f>
        <v>546</v>
      </c>
      <c r="O199" s="3">
        <f>Shoe_Sales[[#This Row],[Profit]]/Shoe_Sales[[#This Row],[Revenue]]</f>
        <v>0.47191011235955055</v>
      </c>
    </row>
    <row r="200" spans="1:15" x14ac:dyDescent="0.35">
      <c r="A200" s="2" t="s">
        <v>249</v>
      </c>
      <c r="B200" s="2">
        <v>46117</v>
      </c>
      <c r="C200" t="s">
        <v>41</v>
      </c>
      <c r="D200" t="s">
        <v>25</v>
      </c>
      <c r="E200" t="s">
        <v>11</v>
      </c>
      <c r="F200" t="s">
        <v>8</v>
      </c>
      <c r="G200" t="s">
        <v>30</v>
      </c>
      <c r="H200">
        <v>4</v>
      </c>
      <c r="I200" t="s">
        <v>48</v>
      </c>
      <c r="J200">
        <f>VLOOKUP(Shoe_Sales[[#This Row],[Product]],products!$A$1:$C$9,3,0)</f>
        <v>39</v>
      </c>
      <c r="K200">
        <f>VLOOKUP(Shoe_Sales[[#This Row],[Product]],products!$A$1:$C$9,2,FALSE)</f>
        <v>76</v>
      </c>
      <c r="L200">
        <f>Shoe_Sales[[#This Row],[Cost Price]]*Shoe_Sales[[#This Row],[Quantity]]</f>
        <v>156</v>
      </c>
      <c r="M200">
        <f>Shoe_Sales[[#This Row],[Selling Price]]*Shoe_Sales[[#This Row],[Quantity]]</f>
        <v>304</v>
      </c>
      <c r="N200">
        <f>Shoe_Sales[[#This Row],[Revenue]]-Shoe_Sales[[#This Row],[Cost]]</f>
        <v>148</v>
      </c>
      <c r="O200" s="3">
        <f>Shoe_Sales[[#This Row],[Profit]]/Shoe_Sales[[#This Row],[Revenue]]</f>
        <v>0.48684210526315791</v>
      </c>
    </row>
    <row r="201" spans="1:15" x14ac:dyDescent="0.35">
      <c r="A201" s="2" t="s">
        <v>250</v>
      </c>
      <c r="B201" s="2">
        <v>46117</v>
      </c>
      <c r="C201" t="s">
        <v>13</v>
      </c>
      <c r="D201" t="s">
        <v>10</v>
      </c>
      <c r="E201" t="s">
        <v>7</v>
      </c>
      <c r="F201" t="s">
        <v>35</v>
      </c>
      <c r="G201" t="s">
        <v>34</v>
      </c>
      <c r="H201">
        <v>1</v>
      </c>
      <c r="I201" t="s">
        <v>46</v>
      </c>
      <c r="J201">
        <f>VLOOKUP(Shoe_Sales[[#This Row],[Product]],products!$A$1:$C$9,3,0)</f>
        <v>67</v>
      </c>
      <c r="K201">
        <f>VLOOKUP(Shoe_Sales[[#This Row],[Product]],products!$A$1:$C$9,2,FALSE)</f>
        <v>119</v>
      </c>
      <c r="L201">
        <f>Shoe_Sales[[#This Row],[Cost Price]]*Shoe_Sales[[#This Row],[Quantity]]</f>
        <v>67</v>
      </c>
      <c r="M201">
        <f>Shoe_Sales[[#This Row],[Selling Price]]*Shoe_Sales[[#This Row],[Quantity]]</f>
        <v>119</v>
      </c>
      <c r="N201">
        <f>Shoe_Sales[[#This Row],[Revenue]]-Shoe_Sales[[#This Row],[Cost]]</f>
        <v>52</v>
      </c>
      <c r="O201" s="3">
        <f>Shoe_Sales[[#This Row],[Profit]]/Shoe_Sales[[#This Row],[Revenue]]</f>
        <v>0.43697478991596639</v>
      </c>
    </row>
    <row r="202" spans="1:15" x14ac:dyDescent="0.35">
      <c r="A202" s="2" t="s">
        <v>251</v>
      </c>
      <c r="B202" s="2">
        <v>46117</v>
      </c>
      <c r="C202" t="s">
        <v>41</v>
      </c>
      <c r="D202" t="s">
        <v>19</v>
      </c>
      <c r="E202" t="s">
        <v>11</v>
      </c>
      <c r="F202" t="s">
        <v>17</v>
      </c>
      <c r="G202" t="s">
        <v>30</v>
      </c>
      <c r="H202">
        <v>4</v>
      </c>
      <c r="I202" t="s">
        <v>45</v>
      </c>
      <c r="J202">
        <f>VLOOKUP(Shoe_Sales[[#This Row],[Product]],products!$A$1:$C$9,3,0)</f>
        <v>39</v>
      </c>
      <c r="K202">
        <f>VLOOKUP(Shoe_Sales[[#This Row],[Product]],products!$A$1:$C$9,2,FALSE)</f>
        <v>76</v>
      </c>
      <c r="L202">
        <f>Shoe_Sales[[#This Row],[Cost Price]]*Shoe_Sales[[#This Row],[Quantity]]</f>
        <v>156</v>
      </c>
      <c r="M202">
        <f>Shoe_Sales[[#This Row],[Selling Price]]*Shoe_Sales[[#This Row],[Quantity]]</f>
        <v>304</v>
      </c>
      <c r="N202">
        <f>Shoe_Sales[[#This Row],[Revenue]]-Shoe_Sales[[#This Row],[Cost]]</f>
        <v>148</v>
      </c>
      <c r="O202" s="3">
        <f>Shoe_Sales[[#This Row],[Profit]]/Shoe_Sales[[#This Row],[Revenue]]</f>
        <v>0.48684210526315791</v>
      </c>
    </row>
    <row r="203" spans="1:15" x14ac:dyDescent="0.35">
      <c r="A203" s="2" t="s">
        <v>252</v>
      </c>
      <c r="B203" s="2">
        <v>46118</v>
      </c>
      <c r="C203" t="s">
        <v>39</v>
      </c>
      <c r="D203" t="s">
        <v>31</v>
      </c>
      <c r="E203" t="s">
        <v>16</v>
      </c>
      <c r="F203" t="s">
        <v>17</v>
      </c>
      <c r="G203" t="s">
        <v>21</v>
      </c>
      <c r="H203">
        <v>12</v>
      </c>
      <c r="I203" t="s">
        <v>45</v>
      </c>
      <c r="J203">
        <f>VLOOKUP(Shoe_Sales[[#This Row],[Product]],products!$A$1:$C$9,3,0)</f>
        <v>72</v>
      </c>
      <c r="K203">
        <f>VLOOKUP(Shoe_Sales[[#This Row],[Product]],products!$A$1:$C$9,2,FALSE)</f>
        <v>128</v>
      </c>
      <c r="L203">
        <f>Shoe_Sales[[#This Row],[Cost Price]]*Shoe_Sales[[#This Row],[Quantity]]</f>
        <v>864</v>
      </c>
      <c r="M203">
        <f>Shoe_Sales[[#This Row],[Selling Price]]*Shoe_Sales[[#This Row],[Quantity]]</f>
        <v>1536</v>
      </c>
      <c r="N203">
        <f>Shoe_Sales[[#This Row],[Revenue]]-Shoe_Sales[[#This Row],[Cost]]</f>
        <v>672</v>
      </c>
      <c r="O203" s="3">
        <f>Shoe_Sales[[#This Row],[Profit]]/Shoe_Sales[[#This Row],[Revenue]]</f>
        <v>0.4375</v>
      </c>
    </row>
    <row r="204" spans="1:15" x14ac:dyDescent="0.35">
      <c r="A204" s="2" t="s">
        <v>253</v>
      </c>
      <c r="B204" s="2">
        <v>46118</v>
      </c>
      <c r="C204" t="s">
        <v>42</v>
      </c>
      <c r="D204" t="s">
        <v>25</v>
      </c>
      <c r="E204" t="s">
        <v>16</v>
      </c>
      <c r="F204" t="s">
        <v>29</v>
      </c>
      <c r="G204" t="s">
        <v>15</v>
      </c>
      <c r="H204">
        <v>10</v>
      </c>
      <c r="I204" t="s">
        <v>46</v>
      </c>
      <c r="J204">
        <f>VLOOKUP(Shoe_Sales[[#This Row],[Product]],products!$A$1:$C$9,3,0)</f>
        <v>47</v>
      </c>
      <c r="K204">
        <f>VLOOKUP(Shoe_Sales[[#This Row],[Product]],products!$A$1:$C$9,2,FALSE)</f>
        <v>89</v>
      </c>
      <c r="L204">
        <f>Shoe_Sales[[#This Row],[Cost Price]]*Shoe_Sales[[#This Row],[Quantity]]</f>
        <v>470</v>
      </c>
      <c r="M204">
        <f>Shoe_Sales[[#This Row],[Selling Price]]*Shoe_Sales[[#This Row],[Quantity]]</f>
        <v>890</v>
      </c>
      <c r="N204">
        <f>Shoe_Sales[[#This Row],[Revenue]]-Shoe_Sales[[#This Row],[Cost]]</f>
        <v>420</v>
      </c>
      <c r="O204" s="3">
        <f>Shoe_Sales[[#This Row],[Profit]]/Shoe_Sales[[#This Row],[Revenue]]</f>
        <v>0.47191011235955055</v>
      </c>
    </row>
    <row r="205" spans="1:15" x14ac:dyDescent="0.35">
      <c r="A205" s="2" t="s">
        <v>254</v>
      </c>
      <c r="B205" s="2">
        <v>46119</v>
      </c>
      <c r="C205" t="s">
        <v>38</v>
      </c>
      <c r="D205" t="s">
        <v>19</v>
      </c>
      <c r="E205" t="s">
        <v>20</v>
      </c>
      <c r="F205" t="s">
        <v>8</v>
      </c>
      <c r="G205" t="s">
        <v>37</v>
      </c>
      <c r="H205">
        <v>12</v>
      </c>
      <c r="I205" t="s">
        <v>45</v>
      </c>
      <c r="J205">
        <f>VLOOKUP(Shoe_Sales[[#This Row],[Product]],products!$A$1:$C$9,3,0)</f>
        <v>64</v>
      </c>
      <c r="K205">
        <f>VLOOKUP(Shoe_Sales[[#This Row],[Product]],products!$A$1:$C$9,2,FALSE)</f>
        <v>112</v>
      </c>
      <c r="L205">
        <f>Shoe_Sales[[#This Row],[Cost Price]]*Shoe_Sales[[#This Row],[Quantity]]</f>
        <v>768</v>
      </c>
      <c r="M205">
        <f>Shoe_Sales[[#This Row],[Selling Price]]*Shoe_Sales[[#This Row],[Quantity]]</f>
        <v>1344</v>
      </c>
      <c r="N205">
        <f>Shoe_Sales[[#This Row],[Revenue]]-Shoe_Sales[[#This Row],[Cost]]</f>
        <v>576</v>
      </c>
      <c r="O205" s="3">
        <f>Shoe_Sales[[#This Row],[Profit]]/Shoe_Sales[[#This Row],[Revenue]]</f>
        <v>0.42857142857142855</v>
      </c>
    </row>
    <row r="206" spans="1:15" x14ac:dyDescent="0.35">
      <c r="A206" s="2" t="s">
        <v>255</v>
      </c>
      <c r="B206" s="2">
        <v>46120</v>
      </c>
      <c r="C206" t="s">
        <v>13</v>
      </c>
      <c r="D206" t="s">
        <v>25</v>
      </c>
      <c r="E206" t="s">
        <v>11</v>
      </c>
      <c r="F206" t="s">
        <v>17</v>
      </c>
      <c r="G206" t="s">
        <v>15</v>
      </c>
      <c r="H206">
        <v>4</v>
      </c>
      <c r="I206" t="s">
        <v>47</v>
      </c>
      <c r="J206">
        <f>VLOOKUP(Shoe_Sales[[#This Row],[Product]],products!$A$1:$C$9,3,0)</f>
        <v>67</v>
      </c>
      <c r="K206">
        <f>VLOOKUP(Shoe_Sales[[#This Row],[Product]],products!$A$1:$C$9,2,FALSE)</f>
        <v>119</v>
      </c>
      <c r="L206">
        <f>Shoe_Sales[[#This Row],[Cost Price]]*Shoe_Sales[[#This Row],[Quantity]]</f>
        <v>268</v>
      </c>
      <c r="M206">
        <f>Shoe_Sales[[#This Row],[Selling Price]]*Shoe_Sales[[#This Row],[Quantity]]</f>
        <v>476</v>
      </c>
      <c r="N206">
        <f>Shoe_Sales[[#This Row],[Revenue]]-Shoe_Sales[[#This Row],[Cost]]</f>
        <v>208</v>
      </c>
      <c r="O206" s="3">
        <f>Shoe_Sales[[#This Row],[Profit]]/Shoe_Sales[[#This Row],[Revenue]]</f>
        <v>0.43697478991596639</v>
      </c>
    </row>
    <row r="207" spans="1:15" x14ac:dyDescent="0.35">
      <c r="A207" s="2" t="s">
        <v>256</v>
      </c>
      <c r="B207" s="2">
        <v>46120</v>
      </c>
      <c r="C207" t="s">
        <v>42</v>
      </c>
      <c r="D207" t="s">
        <v>25</v>
      </c>
      <c r="E207" t="s">
        <v>16</v>
      </c>
      <c r="F207" t="s">
        <v>40</v>
      </c>
      <c r="G207" t="s">
        <v>30</v>
      </c>
      <c r="H207">
        <v>5</v>
      </c>
      <c r="I207" t="s">
        <v>47</v>
      </c>
      <c r="J207">
        <f>VLOOKUP(Shoe_Sales[[#This Row],[Product]],products!$A$1:$C$9,3,0)</f>
        <v>47</v>
      </c>
      <c r="K207">
        <f>VLOOKUP(Shoe_Sales[[#This Row],[Product]],products!$A$1:$C$9,2,FALSE)</f>
        <v>89</v>
      </c>
      <c r="L207">
        <f>Shoe_Sales[[#This Row],[Cost Price]]*Shoe_Sales[[#This Row],[Quantity]]</f>
        <v>235</v>
      </c>
      <c r="M207">
        <f>Shoe_Sales[[#This Row],[Selling Price]]*Shoe_Sales[[#This Row],[Quantity]]</f>
        <v>445</v>
      </c>
      <c r="N207">
        <f>Shoe_Sales[[#This Row],[Revenue]]-Shoe_Sales[[#This Row],[Cost]]</f>
        <v>210</v>
      </c>
      <c r="O207" s="3">
        <f>Shoe_Sales[[#This Row],[Profit]]/Shoe_Sales[[#This Row],[Revenue]]</f>
        <v>0.47191011235955055</v>
      </c>
    </row>
    <row r="208" spans="1:15" x14ac:dyDescent="0.35">
      <c r="A208" s="2" t="s">
        <v>257</v>
      </c>
      <c r="B208" s="2">
        <v>46120</v>
      </c>
      <c r="C208" t="s">
        <v>38</v>
      </c>
      <c r="D208" t="s">
        <v>25</v>
      </c>
      <c r="E208" t="s">
        <v>7</v>
      </c>
      <c r="F208" t="s">
        <v>8</v>
      </c>
      <c r="G208" t="s">
        <v>15</v>
      </c>
      <c r="H208">
        <v>14</v>
      </c>
      <c r="I208" t="s">
        <v>48</v>
      </c>
      <c r="J208">
        <f>VLOOKUP(Shoe_Sales[[#This Row],[Product]],products!$A$1:$C$9,3,0)</f>
        <v>64</v>
      </c>
      <c r="K208">
        <f>VLOOKUP(Shoe_Sales[[#This Row],[Product]],products!$A$1:$C$9,2,FALSE)</f>
        <v>112</v>
      </c>
      <c r="L208">
        <f>Shoe_Sales[[#This Row],[Cost Price]]*Shoe_Sales[[#This Row],[Quantity]]</f>
        <v>896</v>
      </c>
      <c r="M208">
        <f>Shoe_Sales[[#This Row],[Selling Price]]*Shoe_Sales[[#This Row],[Quantity]]</f>
        <v>1568</v>
      </c>
      <c r="N208">
        <f>Shoe_Sales[[#This Row],[Revenue]]-Shoe_Sales[[#This Row],[Cost]]</f>
        <v>672</v>
      </c>
      <c r="O208" s="3">
        <f>Shoe_Sales[[#This Row],[Profit]]/Shoe_Sales[[#This Row],[Revenue]]</f>
        <v>0.42857142857142855</v>
      </c>
    </row>
    <row r="209" spans="1:15" x14ac:dyDescent="0.35">
      <c r="A209" s="2" t="s">
        <v>258</v>
      </c>
      <c r="B209" s="2">
        <v>46121</v>
      </c>
      <c r="C209" t="s">
        <v>22</v>
      </c>
      <c r="D209" t="s">
        <v>25</v>
      </c>
      <c r="E209" t="s">
        <v>16</v>
      </c>
      <c r="F209" t="s">
        <v>40</v>
      </c>
      <c r="G209" t="s">
        <v>12</v>
      </c>
      <c r="H209">
        <v>14</v>
      </c>
      <c r="I209" t="s">
        <v>47</v>
      </c>
      <c r="J209">
        <f>VLOOKUP(Shoe_Sales[[#This Row],[Product]],products!$A$1:$C$9,3,0)</f>
        <v>58</v>
      </c>
      <c r="K209">
        <f>VLOOKUP(Shoe_Sales[[#This Row],[Product]],products!$A$1:$C$9,2,FALSE)</f>
        <v>105</v>
      </c>
      <c r="L209">
        <f>Shoe_Sales[[#This Row],[Cost Price]]*Shoe_Sales[[#This Row],[Quantity]]</f>
        <v>812</v>
      </c>
      <c r="M209">
        <f>Shoe_Sales[[#This Row],[Selling Price]]*Shoe_Sales[[#This Row],[Quantity]]</f>
        <v>1470</v>
      </c>
      <c r="N209">
        <f>Shoe_Sales[[#This Row],[Revenue]]-Shoe_Sales[[#This Row],[Cost]]</f>
        <v>658</v>
      </c>
      <c r="O209" s="3">
        <f>Shoe_Sales[[#This Row],[Profit]]/Shoe_Sales[[#This Row],[Revenue]]</f>
        <v>0.44761904761904764</v>
      </c>
    </row>
    <row r="210" spans="1:15" x14ac:dyDescent="0.35">
      <c r="A210" s="2" t="s">
        <v>259</v>
      </c>
      <c r="B210" s="2">
        <v>46121</v>
      </c>
      <c r="C210" t="s">
        <v>22</v>
      </c>
      <c r="D210" t="s">
        <v>19</v>
      </c>
      <c r="E210" t="s">
        <v>14</v>
      </c>
      <c r="F210" t="s">
        <v>8</v>
      </c>
      <c r="G210" t="s">
        <v>15</v>
      </c>
      <c r="H210">
        <v>10</v>
      </c>
      <c r="I210" t="s">
        <v>46</v>
      </c>
      <c r="J210">
        <f>VLOOKUP(Shoe_Sales[[#This Row],[Product]],products!$A$1:$C$9,3,0)</f>
        <v>58</v>
      </c>
      <c r="K210">
        <f>VLOOKUP(Shoe_Sales[[#This Row],[Product]],products!$A$1:$C$9,2,FALSE)</f>
        <v>105</v>
      </c>
      <c r="L210">
        <f>Shoe_Sales[[#This Row],[Cost Price]]*Shoe_Sales[[#This Row],[Quantity]]</f>
        <v>580</v>
      </c>
      <c r="M210">
        <f>Shoe_Sales[[#This Row],[Selling Price]]*Shoe_Sales[[#This Row],[Quantity]]</f>
        <v>1050</v>
      </c>
      <c r="N210">
        <f>Shoe_Sales[[#This Row],[Revenue]]-Shoe_Sales[[#This Row],[Cost]]</f>
        <v>470</v>
      </c>
      <c r="O210" s="3">
        <f>Shoe_Sales[[#This Row],[Profit]]/Shoe_Sales[[#This Row],[Revenue]]</f>
        <v>0.44761904761904764</v>
      </c>
    </row>
    <row r="211" spans="1:15" x14ac:dyDescent="0.35">
      <c r="A211" s="2" t="s">
        <v>260</v>
      </c>
      <c r="B211" s="2">
        <v>46121</v>
      </c>
      <c r="C211" t="s">
        <v>38</v>
      </c>
      <c r="D211" t="s">
        <v>25</v>
      </c>
      <c r="E211" t="s">
        <v>14</v>
      </c>
      <c r="F211" t="s">
        <v>40</v>
      </c>
      <c r="G211" t="s">
        <v>32</v>
      </c>
      <c r="H211">
        <v>6</v>
      </c>
      <c r="I211" t="s">
        <v>46</v>
      </c>
      <c r="J211">
        <f>VLOOKUP(Shoe_Sales[[#This Row],[Product]],products!$A$1:$C$9,3,0)</f>
        <v>64</v>
      </c>
      <c r="K211">
        <f>VLOOKUP(Shoe_Sales[[#This Row],[Product]],products!$A$1:$C$9,2,FALSE)</f>
        <v>112</v>
      </c>
      <c r="L211">
        <f>Shoe_Sales[[#This Row],[Cost Price]]*Shoe_Sales[[#This Row],[Quantity]]</f>
        <v>384</v>
      </c>
      <c r="M211">
        <f>Shoe_Sales[[#This Row],[Selling Price]]*Shoe_Sales[[#This Row],[Quantity]]</f>
        <v>672</v>
      </c>
      <c r="N211">
        <f>Shoe_Sales[[#This Row],[Revenue]]-Shoe_Sales[[#This Row],[Cost]]</f>
        <v>288</v>
      </c>
      <c r="O211" s="3">
        <f>Shoe_Sales[[#This Row],[Profit]]/Shoe_Sales[[#This Row],[Revenue]]</f>
        <v>0.42857142857142855</v>
      </c>
    </row>
    <row r="212" spans="1:15" x14ac:dyDescent="0.35">
      <c r="A212" s="2" t="s">
        <v>261</v>
      </c>
      <c r="B212" s="2">
        <v>46122</v>
      </c>
      <c r="C212" t="s">
        <v>27</v>
      </c>
      <c r="D212" t="s">
        <v>19</v>
      </c>
      <c r="E212" t="s">
        <v>11</v>
      </c>
      <c r="F212" t="s">
        <v>29</v>
      </c>
      <c r="G212" t="s">
        <v>34</v>
      </c>
      <c r="H212">
        <v>3</v>
      </c>
      <c r="I212" t="s">
        <v>45</v>
      </c>
      <c r="J212">
        <f>VLOOKUP(Shoe_Sales[[#This Row],[Product]],products!$A$1:$C$9,3,0)</f>
        <v>14</v>
      </c>
      <c r="K212">
        <f>VLOOKUP(Shoe_Sales[[#This Row],[Product]],products!$A$1:$C$9,2,FALSE)</f>
        <v>32</v>
      </c>
      <c r="L212">
        <f>Shoe_Sales[[#This Row],[Cost Price]]*Shoe_Sales[[#This Row],[Quantity]]</f>
        <v>42</v>
      </c>
      <c r="M212">
        <f>Shoe_Sales[[#This Row],[Selling Price]]*Shoe_Sales[[#This Row],[Quantity]]</f>
        <v>96</v>
      </c>
      <c r="N212">
        <f>Shoe_Sales[[#This Row],[Revenue]]-Shoe_Sales[[#This Row],[Cost]]</f>
        <v>54</v>
      </c>
      <c r="O212" s="3">
        <f>Shoe_Sales[[#This Row],[Profit]]/Shoe_Sales[[#This Row],[Revenue]]</f>
        <v>0.5625</v>
      </c>
    </row>
    <row r="213" spans="1:15" x14ac:dyDescent="0.35">
      <c r="A213" s="2" t="s">
        <v>262</v>
      </c>
      <c r="B213" s="2">
        <v>46123</v>
      </c>
      <c r="C213" t="s">
        <v>27</v>
      </c>
      <c r="D213" t="s">
        <v>19</v>
      </c>
      <c r="E213" t="s">
        <v>7</v>
      </c>
      <c r="F213" t="s">
        <v>8</v>
      </c>
      <c r="G213" t="s">
        <v>36</v>
      </c>
      <c r="H213">
        <v>9</v>
      </c>
      <c r="I213" t="s">
        <v>46</v>
      </c>
      <c r="J213">
        <f>VLOOKUP(Shoe_Sales[[#This Row],[Product]],products!$A$1:$C$9,3,0)</f>
        <v>14</v>
      </c>
      <c r="K213">
        <f>VLOOKUP(Shoe_Sales[[#This Row],[Product]],products!$A$1:$C$9,2,FALSE)</f>
        <v>32</v>
      </c>
      <c r="L213">
        <f>Shoe_Sales[[#This Row],[Cost Price]]*Shoe_Sales[[#This Row],[Quantity]]</f>
        <v>126</v>
      </c>
      <c r="M213">
        <f>Shoe_Sales[[#This Row],[Selling Price]]*Shoe_Sales[[#This Row],[Quantity]]</f>
        <v>288</v>
      </c>
      <c r="N213">
        <f>Shoe_Sales[[#This Row],[Revenue]]-Shoe_Sales[[#This Row],[Cost]]</f>
        <v>162</v>
      </c>
      <c r="O213" s="3">
        <f>Shoe_Sales[[#This Row],[Profit]]/Shoe_Sales[[#This Row],[Revenue]]</f>
        <v>0.5625</v>
      </c>
    </row>
    <row r="214" spans="1:15" x14ac:dyDescent="0.35">
      <c r="A214" s="2" t="s">
        <v>263</v>
      </c>
      <c r="B214" s="2">
        <v>46124</v>
      </c>
      <c r="C214" t="s">
        <v>27</v>
      </c>
      <c r="D214" t="s">
        <v>10</v>
      </c>
      <c r="E214" t="s">
        <v>7</v>
      </c>
      <c r="F214" t="s">
        <v>35</v>
      </c>
      <c r="G214" t="s">
        <v>9</v>
      </c>
      <c r="H214">
        <v>14</v>
      </c>
      <c r="I214" t="s">
        <v>46</v>
      </c>
      <c r="J214">
        <f>VLOOKUP(Shoe_Sales[[#This Row],[Product]],products!$A$1:$C$9,3,0)</f>
        <v>14</v>
      </c>
      <c r="K214">
        <f>VLOOKUP(Shoe_Sales[[#This Row],[Product]],products!$A$1:$C$9,2,FALSE)</f>
        <v>32</v>
      </c>
      <c r="L214">
        <f>Shoe_Sales[[#This Row],[Cost Price]]*Shoe_Sales[[#This Row],[Quantity]]</f>
        <v>196</v>
      </c>
      <c r="M214">
        <f>Shoe_Sales[[#This Row],[Selling Price]]*Shoe_Sales[[#This Row],[Quantity]]</f>
        <v>448</v>
      </c>
      <c r="N214">
        <f>Shoe_Sales[[#This Row],[Revenue]]-Shoe_Sales[[#This Row],[Cost]]</f>
        <v>252</v>
      </c>
      <c r="O214" s="3">
        <f>Shoe_Sales[[#This Row],[Profit]]/Shoe_Sales[[#This Row],[Revenue]]</f>
        <v>0.5625</v>
      </c>
    </row>
    <row r="215" spans="1:15" x14ac:dyDescent="0.35">
      <c r="A215" s="2" t="s">
        <v>264</v>
      </c>
      <c r="B215" s="2">
        <v>46124</v>
      </c>
      <c r="C215" t="s">
        <v>22</v>
      </c>
      <c r="D215" t="s">
        <v>10</v>
      </c>
      <c r="E215" t="s">
        <v>16</v>
      </c>
      <c r="F215" t="s">
        <v>8</v>
      </c>
      <c r="G215" t="s">
        <v>26</v>
      </c>
      <c r="H215">
        <v>4</v>
      </c>
      <c r="I215" t="s">
        <v>46</v>
      </c>
      <c r="J215">
        <f>VLOOKUP(Shoe_Sales[[#This Row],[Product]],products!$A$1:$C$9,3,0)</f>
        <v>58</v>
      </c>
      <c r="K215">
        <f>VLOOKUP(Shoe_Sales[[#This Row],[Product]],products!$A$1:$C$9,2,FALSE)</f>
        <v>105</v>
      </c>
      <c r="L215">
        <f>Shoe_Sales[[#This Row],[Cost Price]]*Shoe_Sales[[#This Row],[Quantity]]</f>
        <v>232</v>
      </c>
      <c r="M215">
        <f>Shoe_Sales[[#This Row],[Selling Price]]*Shoe_Sales[[#This Row],[Quantity]]</f>
        <v>420</v>
      </c>
      <c r="N215">
        <f>Shoe_Sales[[#This Row],[Revenue]]-Shoe_Sales[[#This Row],[Cost]]</f>
        <v>188</v>
      </c>
      <c r="O215" s="3">
        <f>Shoe_Sales[[#This Row],[Profit]]/Shoe_Sales[[#This Row],[Revenue]]</f>
        <v>0.44761904761904764</v>
      </c>
    </row>
    <row r="216" spans="1:15" x14ac:dyDescent="0.35">
      <c r="A216" s="2" t="s">
        <v>265</v>
      </c>
      <c r="B216" s="2">
        <v>46124</v>
      </c>
      <c r="C216" t="s">
        <v>42</v>
      </c>
      <c r="D216" t="s">
        <v>10</v>
      </c>
      <c r="E216" t="s">
        <v>14</v>
      </c>
      <c r="F216" t="s">
        <v>29</v>
      </c>
      <c r="G216" t="s">
        <v>18</v>
      </c>
      <c r="H216">
        <v>15</v>
      </c>
      <c r="I216" t="s">
        <v>47</v>
      </c>
      <c r="J216">
        <f>VLOOKUP(Shoe_Sales[[#This Row],[Product]],products!$A$1:$C$9,3,0)</f>
        <v>47</v>
      </c>
      <c r="K216">
        <f>VLOOKUP(Shoe_Sales[[#This Row],[Product]],products!$A$1:$C$9,2,FALSE)</f>
        <v>89</v>
      </c>
      <c r="L216">
        <f>Shoe_Sales[[#This Row],[Cost Price]]*Shoe_Sales[[#This Row],[Quantity]]</f>
        <v>705</v>
      </c>
      <c r="M216">
        <f>Shoe_Sales[[#This Row],[Selling Price]]*Shoe_Sales[[#This Row],[Quantity]]</f>
        <v>1335</v>
      </c>
      <c r="N216">
        <f>Shoe_Sales[[#This Row],[Revenue]]-Shoe_Sales[[#This Row],[Cost]]</f>
        <v>630</v>
      </c>
      <c r="O216" s="3">
        <f>Shoe_Sales[[#This Row],[Profit]]/Shoe_Sales[[#This Row],[Revenue]]</f>
        <v>0.47191011235955055</v>
      </c>
    </row>
    <row r="217" spans="1:15" x14ac:dyDescent="0.35">
      <c r="A217" s="2" t="s">
        <v>266</v>
      </c>
      <c r="B217" s="2">
        <v>46124</v>
      </c>
      <c r="C217" t="s">
        <v>13</v>
      </c>
      <c r="D217" t="s">
        <v>25</v>
      </c>
      <c r="E217" t="s">
        <v>14</v>
      </c>
      <c r="F217" t="s">
        <v>8</v>
      </c>
      <c r="G217" t="s">
        <v>32</v>
      </c>
      <c r="H217">
        <v>3</v>
      </c>
      <c r="I217" t="s">
        <v>48</v>
      </c>
      <c r="J217">
        <f>VLOOKUP(Shoe_Sales[[#This Row],[Product]],products!$A$1:$C$9,3,0)</f>
        <v>67</v>
      </c>
      <c r="K217">
        <f>VLOOKUP(Shoe_Sales[[#This Row],[Product]],products!$A$1:$C$9,2,FALSE)</f>
        <v>119</v>
      </c>
      <c r="L217">
        <f>Shoe_Sales[[#This Row],[Cost Price]]*Shoe_Sales[[#This Row],[Quantity]]</f>
        <v>201</v>
      </c>
      <c r="M217">
        <f>Shoe_Sales[[#This Row],[Selling Price]]*Shoe_Sales[[#This Row],[Quantity]]</f>
        <v>357</v>
      </c>
      <c r="N217">
        <f>Shoe_Sales[[#This Row],[Revenue]]-Shoe_Sales[[#This Row],[Cost]]</f>
        <v>156</v>
      </c>
      <c r="O217" s="3">
        <f>Shoe_Sales[[#This Row],[Profit]]/Shoe_Sales[[#This Row],[Revenue]]</f>
        <v>0.43697478991596639</v>
      </c>
    </row>
    <row r="218" spans="1:15" x14ac:dyDescent="0.35">
      <c r="A218" s="2" t="s">
        <v>267</v>
      </c>
      <c r="B218" s="2">
        <v>46124</v>
      </c>
      <c r="C218" t="s">
        <v>13</v>
      </c>
      <c r="D218" t="s">
        <v>25</v>
      </c>
      <c r="E218" t="s">
        <v>20</v>
      </c>
      <c r="F218" t="s">
        <v>29</v>
      </c>
      <c r="G218" t="s">
        <v>23</v>
      </c>
      <c r="H218">
        <v>7</v>
      </c>
      <c r="I218" t="s">
        <v>45</v>
      </c>
      <c r="J218">
        <f>VLOOKUP(Shoe_Sales[[#This Row],[Product]],products!$A$1:$C$9,3,0)</f>
        <v>67</v>
      </c>
      <c r="K218">
        <f>VLOOKUP(Shoe_Sales[[#This Row],[Product]],products!$A$1:$C$9,2,FALSE)</f>
        <v>119</v>
      </c>
      <c r="L218">
        <f>Shoe_Sales[[#This Row],[Cost Price]]*Shoe_Sales[[#This Row],[Quantity]]</f>
        <v>469</v>
      </c>
      <c r="M218">
        <f>Shoe_Sales[[#This Row],[Selling Price]]*Shoe_Sales[[#This Row],[Quantity]]</f>
        <v>833</v>
      </c>
      <c r="N218">
        <f>Shoe_Sales[[#This Row],[Revenue]]-Shoe_Sales[[#This Row],[Cost]]</f>
        <v>364</v>
      </c>
      <c r="O218" s="3">
        <f>Shoe_Sales[[#This Row],[Profit]]/Shoe_Sales[[#This Row],[Revenue]]</f>
        <v>0.43697478991596639</v>
      </c>
    </row>
    <row r="219" spans="1:15" x14ac:dyDescent="0.35">
      <c r="A219" s="2" t="s">
        <v>268</v>
      </c>
      <c r="B219" s="2">
        <v>46125</v>
      </c>
      <c r="C219" t="s">
        <v>41</v>
      </c>
      <c r="D219" t="s">
        <v>31</v>
      </c>
      <c r="E219" t="s">
        <v>14</v>
      </c>
      <c r="F219" t="s">
        <v>29</v>
      </c>
      <c r="G219" t="s">
        <v>9</v>
      </c>
      <c r="H219">
        <v>7</v>
      </c>
      <c r="I219" t="s">
        <v>45</v>
      </c>
      <c r="J219">
        <f>VLOOKUP(Shoe_Sales[[#This Row],[Product]],products!$A$1:$C$9,3,0)</f>
        <v>39</v>
      </c>
      <c r="K219">
        <f>VLOOKUP(Shoe_Sales[[#This Row],[Product]],products!$A$1:$C$9,2,FALSE)</f>
        <v>76</v>
      </c>
      <c r="L219">
        <f>Shoe_Sales[[#This Row],[Cost Price]]*Shoe_Sales[[#This Row],[Quantity]]</f>
        <v>273</v>
      </c>
      <c r="M219">
        <f>Shoe_Sales[[#This Row],[Selling Price]]*Shoe_Sales[[#This Row],[Quantity]]</f>
        <v>532</v>
      </c>
      <c r="N219">
        <f>Shoe_Sales[[#This Row],[Revenue]]-Shoe_Sales[[#This Row],[Cost]]</f>
        <v>259</v>
      </c>
      <c r="O219" s="3">
        <f>Shoe_Sales[[#This Row],[Profit]]/Shoe_Sales[[#This Row],[Revenue]]</f>
        <v>0.48684210526315791</v>
      </c>
    </row>
    <row r="220" spans="1:15" x14ac:dyDescent="0.35">
      <c r="A220" s="2" t="s">
        <v>269</v>
      </c>
      <c r="B220" s="2">
        <v>46125</v>
      </c>
      <c r="C220" t="s">
        <v>13</v>
      </c>
      <c r="D220" t="s">
        <v>25</v>
      </c>
      <c r="E220" t="s">
        <v>16</v>
      </c>
      <c r="F220" t="s">
        <v>8</v>
      </c>
      <c r="G220" t="s">
        <v>28</v>
      </c>
      <c r="H220">
        <v>5</v>
      </c>
      <c r="I220" t="s">
        <v>48</v>
      </c>
      <c r="J220">
        <f>VLOOKUP(Shoe_Sales[[#This Row],[Product]],products!$A$1:$C$9,3,0)</f>
        <v>67</v>
      </c>
      <c r="K220">
        <f>VLOOKUP(Shoe_Sales[[#This Row],[Product]],products!$A$1:$C$9,2,FALSE)</f>
        <v>119</v>
      </c>
      <c r="L220">
        <f>Shoe_Sales[[#This Row],[Cost Price]]*Shoe_Sales[[#This Row],[Quantity]]</f>
        <v>335</v>
      </c>
      <c r="M220">
        <f>Shoe_Sales[[#This Row],[Selling Price]]*Shoe_Sales[[#This Row],[Quantity]]</f>
        <v>595</v>
      </c>
      <c r="N220">
        <f>Shoe_Sales[[#This Row],[Revenue]]-Shoe_Sales[[#This Row],[Cost]]</f>
        <v>260</v>
      </c>
      <c r="O220" s="3">
        <f>Shoe_Sales[[#This Row],[Profit]]/Shoe_Sales[[#This Row],[Revenue]]</f>
        <v>0.43697478991596639</v>
      </c>
    </row>
    <row r="221" spans="1:15" x14ac:dyDescent="0.35">
      <c r="A221" s="2" t="s">
        <v>270</v>
      </c>
      <c r="B221" s="2">
        <v>46125</v>
      </c>
      <c r="C221" t="s">
        <v>22</v>
      </c>
      <c r="D221" t="s">
        <v>19</v>
      </c>
      <c r="E221" t="s">
        <v>11</v>
      </c>
      <c r="F221" t="s">
        <v>17</v>
      </c>
      <c r="G221" t="s">
        <v>36</v>
      </c>
      <c r="H221">
        <v>6</v>
      </c>
      <c r="I221" t="s">
        <v>48</v>
      </c>
      <c r="J221">
        <f>VLOOKUP(Shoe_Sales[[#This Row],[Product]],products!$A$1:$C$9,3,0)</f>
        <v>58</v>
      </c>
      <c r="K221">
        <f>VLOOKUP(Shoe_Sales[[#This Row],[Product]],products!$A$1:$C$9,2,FALSE)</f>
        <v>105</v>
      </c>
      <c r="L221">
        <f>Shoe_Sales[[#This Row],[Cost Price]]*Shoe_Sales[[#This Row],[Quantity]]</f>
        <v>348</v>
      </c>
      <c r="M221">
        <f>Shoe_Sales[[#This Row],[Selling Price]]*Shoe_Sales[[#This Row],[Quantity]]</f>
        <v>630</v>
      </c>
      <c r="N221">
        <f>Shoe_Sales[[#This Row],[Revenue]]-Shoe_Sales[[#This Row],[Cost]]</f>
        <v>282</v>
      </c>
      <c r="O221" s="3">
        <f>Shoe_Sales[[#This Row],[Profit]]/Shoe_Sales[[#This Row],[Revenue]]</f>
        <v>0.44761904761904764</v>
      </c>
    </row>
    <row r="222" spans="1:15" x14ac:dyDescent="0.35">
      <c r="A222" s="2" t="s">
        <v>271</v>
      </c>
      <c r="B222" s="2">
        <v>46126</v>
      </c>
      <c r="C222" t="s">
        <v>42</v>
      </c>
      <c r="D222" t="s">
        <v>25</v>
      </c>
      <c r="E222" t="s">
        <v>16</v>
      </c>
      <c r="F222" t="s">
        <v>8</v>
      </c>
      <c r="G222" t="s">
        <v>12</v>
      </c>
      <c r="H222">
        <v>13</v>
      </c>
      <c r="I222" t="s">
        <v>46</v>
      </c>
      <c r="J222">
        <f>VLOOKUP(Shoe_Sales[[#This Row],[Product]],products!$A$1:$C$9,3,0)</f>
        <v>47</v>
      </c>
      <c r="K222">
        <f>VLOOKUP(Shoe_Sales[[#This Row],[Product]],products!$A$1:$C$9,2,FALSE)</f>
        <v>89</v>
      </c>
      <c r="L222">
        <f>Shoe_Sales[[#This Row],[Cost Price]]*Shoe_Sales[[#This Row],[Quantity]]</f>
        <v>611</v>
      </c>
      <c r="M222">
        <f>Shoe_Sales[[#This Row],[Selling Price]]*Shoe_Sales[[#This Row],[Quantity]]</f>
        <v>1157</v>
      </c>
      <c r="N222">
        <f>Shoe_Sales[[#This Row],[Revenue]]-Shoe_Sales[[#This Row],[Cost]]</f>
        <v>546</v>
      </c>
      <c r="O222" s="3">
        <f>Shoe_Sales[[#This Row],[Profit]]/Shoe_Sales[[#This Row],[Revenue]]</f>
        <v>0.47191011235955055</v>
      </c>
    </row>
    <row r="223" spans="1:15" x14ac:dyDescent="0.35">
      <c r="A223" s="2" t="s">
        <v>272</v>
      </c>
      <c r="B223" s="2">
        <v>46126</v>
      </c>
      <c r="C223" t="s">
        <v>42</v>
      </c>
      <c r="D223" t="s">
        <v>10</v>
      </c>
      <c r="E223" t="s">
        <v>14</v>
      </c>
      <c r="F223" t="s">
        <v>8</v>
      </c>
      <c r="G223" t="s">
        <v>26</v>
      </c>
      <c r="H223">
        <v>3</v>
      </c>
      <c r="I223" t="s">
        <v>48</v>
      </c>
      <c r="J223">
        <f>VLOOKUP(Shoe_Sales[[#This Row],[Product]],products!$A$1:$C$9,3,0)</f>
        <v>47</v>
      </c>
      <c r="K223">
        <f>VLOOKUP(Shoe_Sales[[#This Row],[Product]],products!$A$1:$C$9,2,FALSE)</f>
        <v>89</v>
      </c>
      <c r="L223">
        <f>Shoe_Sales[[#This Row],[Cost Price]]*Shoe_Sales[[#This Row],[Quantity]]</f>
        <v>141</v>
      </c>
      <c r="M223">
        <f>Shoe_Sales[[#This Row],[Selling Price]]*Shoe_Sales[[#This Row],[Quantity]]</f>
        <v>267</v>
      </c>
      <c r="N223">
        <f>Shoe_Sales[[#This Row],[Revenue]]-Shoe_Sales[[#This Row],[Cost]]</f>
        <v>126</v>
      </c>
      <c r="O223" s="3">
        <f>Shoe_Sales[[#This Row],[Profit]]/Shoe_Sales[[#This Row],[Revenue]]</f>
        <v>0.47191011235955055</v>
      </c>
    </row>
    <row r="224" spans="1:15" x14ac:dyDescent="0.35">
      <c r="A224" s="2" t="s">
        <v>273</v>
      </c>
      <c r="B224" s="2">
        <v>46126</v>
      </c>
      <c r="C224" t="s">
        <v>22</v>
      </c>
      <c r="D224" t="s">
        <v>25</v>
      </c>
      <c r="E224" t="s">
        <v>11</v>
      </c>
      <c r="F224" t="s">
        <v>40</v>
      </c>
      <c r="G224" t="s">
        <v>36</v>
      </c>
      <c r="H224">
        <v>5</v>
      </c>
      <c r="I224" t="s">
        <v>48</v>
      </c>
      <c r="J224">
        <f>VLOOKUP(Shoe_Sales[[#This Row],[Product]],products!$A$1:$C$9,3,0)</f>
        <v>58</v>
      </c>
      <c r="K224">
        <f>VLOOKUP(Shoe_Sales[[#This Row],[Product]],products!$A$1:$C$9,2,FALSE)</f>
        <v>105</v>
      </c>
      <c r="L224">
        <f>Shoe_Sales[[#This Row],[Cost Price]]*Shoe_Sales[[#This Row],[Quantity]]</f>
        <v>290</v>
      </c>
      <c r="M224">
        <f>Shoe_Sales[[#This Row],[Selling Price]]*Shoe_Sales[[#This Row],[Quantity]]</f>
        <v>525</v>
      </c>
      <c r="N224">
        <f>Shoe_Sales[[#This Row],[Revenue]]-Shoe_Sales[[#This Row],[Cost]]</f>
        <v>235</v>
      </c>
      <c r="O224" s="3">
        <f>Shoe_Sales[[#This Row],[Profit]]/Shoe_Sales[[#This Row],[Revenue]]</f>
        <v>0.44761904761904764</v>
      </c>
    </row>
    <row r="225" spans="1:15" x14ac:dyDescent="0.35">
      <c r="A225" s="2" t="s">
        <v>274</v>
      </c>
      <c r="B225" s="2">
        <v>46127</v>
      </c>
      <c r="C225" t="s">
        <v>38</v>
      </c>
      <c r="D225" t="s">
        <v>25</v>
      </c>
      <c r="E225" t="s">
        <v>20</v>
      </c>
      <c r="F225" t="s">
        <v>40</v>
      </c>
      <c r="G225" t="s">
        <v>23</v>
      </c>
      <c r="H225">
        <v>13</v>
      </c>
      <c r="I225" t="s">
        <v>46</v>
      </c>
      <c r="J225">
        <f>VLOOKUP(Shoe_Sales[[#This Row],[Product]],products!$A$1:$C$9,3,0)</f>
        <v>64</v>
      </c>
      <c r="K225">
        <f>VLOOKUP(Shoe_Sales[[#This Row],[Product]],products!$A$1:$C$9,2,FALSE)</f>
        <v>112</v>
      </c>
      <c r="L225">
        <f>Shoe_Sales[[#This Row],[Cost Price]]*Shoe_Sales[[#This Row],[Quantity]]</f>
        <v>832</v>
      </c>
      <c r="M225">
        <f>Shoe_Sales[[#This Row],[Selling Price]]*Shoe_Sales[[#This Row],[Quantity]]</f>
        <v>1456</v>
      </c>
      <c r="N225">
        <f>Shoe_Sales[[#This Row],[Revenue]]-Shoe_Sales[[#This Row],[Cost]]</f>
        <v>624</v>
      </c>
      <c r="O225" s="3">
        <f>Shoe_Sales[[#This Row],[Profit]]/Shoe_Sales[[#This Row],[Revenue]]</f>
        <v>0.42857142857142855</v>
      </c>
    </row>
    <row r="226" spans="1:15" x14ac:dyDescent="0.35">
      <c r="A226" s="2" t="s">
        <v>275</v>
      </c>
      <c r="B226" s="2">
        <v>46127</v>
      </c>
      <c r="C226" t="s">
        <v>33</v>
      </c>
      <c r="D226" t="s">
        <v>31</v>
      </c>
      <c r="E226" t="s">
        <v>14</v>
      </c>
      <c r="F226" t="s">
        <v>40</v>
      </c>
      <c r="G226" t="s">
        <v>36</v>
      </c>
      <c r="H226">
        <v>3</v>
      </c>
      <c r="I226" t="s">
        <v>46</v>
      </c>
      <c r="J226">
        <f>VLOOKUP(Shoe_Sales[[#This Row],[Product]],products!$A$1:$C$9,3,0)</f>
        <v>28</v>
      </c>
      <c r="K226">
        <f>VLOOKUP(Shoe_Sales[[#This Row],[Product]],products!$A$1:$C$9,2,FALSE)</f>
        <v>54</v>
      </c>
      <c r="L226">
        <f>Shoe_Sales[[#This Row],[Cost Price]]*Shoe_Sales[[#This Row],[Quantity]]</f>
        <v>84</v>
      </c>
      <c r="M226">
        <f>Shoe_Sales[[#This Row],[Selling Price]]*Shoe_Sales[[#This Row],[Quantity]]</f>
        <v>162</v>
      </c>
      <c r="N226">
        <f>Shoe_Sales[[#This Row],[Revenue]]-Shoe_Sales[[#This Row],[Cost]]</f>
        <v>78</v>
      </c>
      <c r="O226" s="3">
        <f>Shoe_Sales[[#This Row],[Profit]]/Shoe_Sales[[#This Row],[Revenue]]</f>
        <v>0.48148148148148145</v>
      </c>
    </row>
    <row r="227" spans="1:15" x14ac:dyDescent="0.35">
      <c r="A227" s="2" t="s">
        <v>276</v>
      </c>
      <c r="B227" s="2">
        <v>46128</v>
      </c>
      <c r="C227" t="s">
        <v>42</v>
      </c>
      <c r="D227" t="s">
        <v>25</v>
      </c>
      <c r="E227" t="s">
        <v>7</v>
      </c>
      <c r="F227" t="s">
        <v>40</v>
      </c>
      <c r="G227" t="s">
        <v>37</v>
      </c>
      <c r="H227">
        <v>10</v>
      </c>
      <c r="I227" t="s">
        <v>48</v>
      </c>
      <c r="J227">
        <f>VLOOKUP(Shoe_Sales[[#This Row],[Product]],products!$A$1:$C$9,3,0)</f>
        <v>47</v>
      </c>
      <c r="K227">
        <f>VLOOKUP(Shoe_Sales[[#This Row],[Product]],products!$A$1:$C$9,2,FALSE)</f>
        <v>89</v>
      </c>
      <c r="L227">
        <f>Shoe_Sales[[#This Row],[Cost Price]]*Shoe_Sales[[#This Row],[Quantity]]</f>
        <v>470</v>
      </c>
      <c r="M227">
        <f>Shoe_Sales[[#This Row],[Selling Price]]*Shoe_Sales[[#This Row],[Quantity]]</f>
        <v>890</v>
      </c>
      <c r="N227">
        <f>Shoe_Sales[[#This Row],[Revenue]]-Shoe_Sales[[#This Row],[Cost]]</f>
        <v>420</v>
      </c>
      <c r="O227" s="3">
        <f>Shoe_Sales[[#This Row],[Profit]]/Shoe_Sales[[#This Row],[Revenue]]</f>
        <v>0.47191011235955055</v>
      </c>
    </row>
    <row r="228" spans="1:15" x14ac:dyDescent="0.35">
      <c r="A228" s="2" t="s">
        <v>277</v>
      </c>
      <c r="B228" s="2">
        <v>46129</v>
      </c>
      <c r="C228" t="s">
        <v>13</v>
      </c>
      <c r="D228" t="s">
        <v>19</v>
      </c>
      <c r="E228" t="s">
        <v>14</v>
      </c>
      <c r="F228" t="s">
        <v>35</v>
      </c>
      <c r="G228" t="s">
        <v>18</v>
      </c>
      <c r="H228">
        <v>6</v>
      </c>
      <c r="I228" t="s">
        <v>45</v>
      </c>
      <c r="J228">
        <f>VLOOKUP(Shoe_Sales[[#This Row],[Product]],products!$A$1:$C$9,3,0)</f>
        <v>67</v>
      </c>
      <c r="K228">
        <f>VLOOKUP(Shoe_Sales[[#This Row],[Product]],products!$A$1:$C$9,2,FALSE)</f>
        <v>119</v>
      </c>
      <c r="L228">
        <f>Shoe_Sales[[#This Row],[Cost Price]]*Shoe_Sales[[#This Row],[Quantity]]</f>
        <v>402</v>
      </c>
      <c r="M228">
        <f>Shoe_Sales[[#This Row],[Selling Price]]*Shoe_Sales[[#This Row],[Quantity]]</f>
        <v>714</v>
      </c>
      <c r="N228">
        <f>Shoe_Sales[[#This Row],[Revenue]]-Shoe_Sales[[#This Row],[Cost]]</f>
        <v>312</v>
      </c>
      <c r="O228" s="3">
        <f>Shoe_Sales[[#This Row],[Profit]]/Shoe_Sales[[#This Row],[Revenue]]</f>
        <v>0.43697478991596639</v>
      </c>
    </row>
    <row r="229" spans="1:15" x14ac:dyDescent="0.35">
      <c r="A229" s="2" t="s">
        <v>278</v>
      </c>
      <c r="B229" s="2">
        <v>46130</v>
      </c>
      <c r="C229" t="s">
        <v>39</v>
      </c>
      <c r="D229" t="s">
        <v>25</v>
      </c>
      <c r="E229" t="s">
        <v>7</v>
      </c>
      <c r="F229" t="s">
        <v>17</v>
      </c>
      <c r="G229" t="s">
        <v>30</v>
      </c>
      <c r="H229">
        <v>11</v>
      </c>
      <c r="I229" t="s">
        <v>46</v>
      </c>
      <c r="J229">
        <f>VLOOKUP(Shoe_Sales[[#This Row],[Product]],products!$A$1:$C$9,3,0)</f>
        <v>72</v>
      </c>
      <c r="K229">
        <f>VLOOKUP(Shoe_Sales[[#This Row],[Product]],products!$A$1:$C$9,2,FALSE)</f>
        <v>128</v>
      </c>
      <c r="L229">
        <f>Shoe_Sales[[#This Row],[Cost Price]]*Shoe_Sales[[#This Row],[Quantity]]</f>
        <v>792</v>
      </c>
      <c r="M229">
        <f>Shoe_Sales[[#This Row],[Selling Price]]*Shoe_Sales[[#This Row],[Quantity]]</f>
        <v>1408</v>
      </c>
      <c r="N229">
        <f>Shoe_Sales[[#This Row],[Revenue]]-Shoe_Sales[[#This Row],[Cost]]</f>
        <v>616</v>
      </c>
      <c r="O229" s="3">
        <f>Shoe_Sales[[#This Row],[Profit]]/Shoe_Sales[[#This Row],[Revenue]]</f>
        <v>0.4375</v>
      </c>
    </row>
    <row r="230" spans="1:15" x14ac:dyDescent="0.35">
      <c r="A230" s="2" t="s">
        <v>279</v>
      </c>
      <c r="B230" s="2">
        <v>46130</v>
      </c>
      <c r="C230" t="s">
        <v>13</v>
      </c>
      <c r="D230" t="s">
        <v>25</v>
      </c>
      <c r="E230" t="s">
        <v>16</v>
      </c>
      <c r="F230" t="s">
        <v>8</v>
      </c>
      <c r="G230" t="s">
        <v>21</v>
      </c>
      <c r="H230">
        <v>5</v>
      </c>
      <c r="I230" t="s">
        <v>46</v>
      </c>
      <c r="J230">
        <f>VLOOKUP(Shoe_Sales[[#This Row],[Product]],products!$A$1:$C$9,3,0)</f>
        <v>67</v>
      </c>
      <c r="K230">
        <f>VLOOKUP(Shoe_Sales[[#This Row],[Product]],products!$A$1:$C$9,2,FALSE)</f>
        <v>119</v>
      </c>
      <c r="L230">
        <f>Shoe_Sales[[#This Row],[Cost Price]]*Shoe_Sales[[#This Row],[Quantity]]</f>
        <v>335</v>
      </c>
      <c r="M230">
        <f>Shoe_Sales[[#This Row],[Selling Price]]*Shoe_Sales[[#This Row],[Quantity]]</f>
        <v>595</v>
      </c>
      <c r="N230">
        <f>Shoe_Sales[[#This Row],[Revenue]]-Shoe_Sales[[#This Row],[Cost]]</f>
        <v>260</v>
      </c>
      <c r="O230" s="3">
        <f>Shoe_Sales[[#This Row],[Profit]]/Shoe_Sales[[#This Row],[Revenue]]</f>
        <v>0.43697478991596639</v>
      </c>
    </row>
    <row r="231" spans="1:15" x14ac:dyDescent="0.35">
      <c r="A231" s="2" t="s">
        <v>280</v>
      </c>
      <c r="B231" s="2">
        <v>46130</v>
      </c>
      <c r="C231" t="s">
        <v>41</v>
      </c>
      <c r="D231" t="s">
        <v>19</v>
      </c>
      <c r="E231" t="s">
        <v>14</v>
      </c>
      <c r="F231" t="s">
        <v>17</v>
      </c>
      <c r="G231" t="s">
        <v>21</v>
      </c>
      <c r="H231">
        <v>15</v>
      </c>
      <c r="I231" t="s">
        <v>45</v>
      </c>
      <c r="J231">
        <f>VLOOKUP(Shoe_Sales[[#This Row],[Product]],products!$A$1:$C$9,3,0)</f>
        <v>39</v>
      </c>
      <c r="K231">
        <f>VLOOKUP(Shoe_Sales[[#This Row],[Product]],products!$A$1:$C$9,2,FALSE)</f>
        <v>76</v>
      </c>
      <c r="L231">
        <f>Shoe_Sales[[#This Row],[Cost Price]]*Shoe_Sales[[#This Row],[Quantity]]</f>
        <v>585</v>
      </c>
      <c r="M231">
        <f>Shoe_Sales[[#This Row],[Selling Price]]*Shoe_Sales[[#This Row],[Quantity]]</f>
        <v>1140</v>
      </c>
      <c r="N231">
        <f>Shoe_Sales[[#This Row],[Revenue]]-Shoe_Sales[[#This Row],[Cost]]</f>
        <v>555</v>
      </c>
      <c r="O231" s="3">
        <f>Shoe_Sales[[#This Row],[Profit]]/Shoe_Sales[[#This Row],[Revenue]]</f>
        <v>0.48684210526315791</v>
      </c>
    </row>
    <row r="232" spans="1:15" x14ac:dyDescent="0.35">
      <c r="A232" s="2" t="s">
        <v>281</v>
      </c>
      <c r="B232" s="2">
        <v>46130</v>
      </c>
      <c r="C232" t="s">
        <v>41</v>
      </c>
      <c r="D232" t="s">
        <v>10</v>
      </c>
      <c r="E232" t="s">
        <v>14</v>
      </c>
      <c r="F232" t="s">
        <v>8</v>
      </c>
      <c r="G232" t="s">
        <v>18</v>
      </c>
      <c r="H232">
        <v>6</v>
      </c>
      <c r="I232" t="s">
        <v>45</v>
      </c>
      <c r="J232">
        <f>VLOOKUP(Shoe_Sales[[#This Row],[Product]],products!$A$1:$C$9,3,0)</f>
        <v>39</v>
      </c>
      <c r="K232">
        <f>VLOOKUP(Shoe_Sales[[#This Row],[Product]],products!$A$1:$C$9,2,FALSE)</f>
        <v>76</v>
      </c>
      <c r="L232">
        <f>Shoe_Sales[[#This Row],[Cost Price]]*Shoe_Sales[[#This Row],[Quantity]]</f>
        <v>234</v>
      </c>
      <c r="M232">
        <f>Shoe_Sales[[#This Row],[Selling Price]]*Shoe_Sales[[#This Row],[Quantity]]</f>
        <v>456</v>
      </c>
      <c r="N232">
        <f>Shoe_Sales[[#This Row],[Revenue]]-Shoe_Sales[[#This Row],[Cost]]</f>
        <v>222</v>
      </c>
      <c r="O232" s="3">
        <f>Shoe_Sales[[#This Row],[Profit]]/Shoe_Sales[[#This Row],[Revenue]]</f>
        <v>0.48684210526315791</v>
      </c>
    </row>
    <row r="233" spans="1:15" x14ac:dyDescent="0.35">
      <c r="A233" s="2" t="s">
        <v>282</v>
      </c>
      <c r="B233" s="2">
        <v>46131</v>
      </c>
      <c r="C233" t="s">
        <v>41</v>
      </c>
      <c r="D233" t="s">
        <v>10</v>
      </c>
      <c r="E233" t="s">
        <v>11</v>
      </c>
      <c r="F233" t="s">
        <v>40</v>
      </c>
      <c r="G233" t="s">
        <v>23</v>
      </c>
      <c r="H233">
        <v>9</v>
      </c>
      <c r="I233" t="s">
        <v>45</v>
      </c>
      <c r="J233">
        <f>VLOOKUP(Shoe_Sales[[#This Row],[Product]],products!$A$1:$C$9,3,0)</f>
        <v>39</v>
      </c>
      <c r="K233">
        <f>VLOOKUP(Shoe_Sales[[#This Row],[Product]],products!$A$1:$C$9,2,FALSE)</f>
        <v>76</v>
      </c>
      <c r="L233">
        <f>Shoe_Sales[[#This Row],[Cost Price]]*Shoe_Sales[[#This Row],[Quantity]]</f>
        <v>351</v>
      </c>
      <c r="M233">
        <f>Shoe_Sales[[#This Row],[Selling Price]]*Shoe_Sales[[#This Row],[Quantity]]</f>
        <v>684</v>
      </c>
      <c r="N233">
        <f>Shoe_Sales[[#This Row],[Revenue]]-Shoe_Sales[[#This Row],[Cost]]</f>
        <v>333</v>
      </c>
      <c r="O233" s="3">
        <f>Shoe_Sales[[#This Row],[Profit]]/Shoe_Sales[[#This Row],[Revenue]]</f>
        <v>0.48684210526315791</v>
      </c>
    </row>
    <row r="234" spans="1:15" x14ac:dyDescent="0.35">
      <c r="A234" s="2" t="s">
        <v>283</v>
      </c>
      <c r="B234" s="2">
        <v>46131</v>
      </c>
      <c r="C234" t="s">
        <v>41</v>
      </c>
      <c r="D234" t="s">
        <v>25</v>
      </c>
      <c r="E234" t="s">
        <v>11</v>
      </c>
      <c r="F234" t="s">
        <v>8</v>
      </c>
      <c r="G234" t="s">
        <v>9</v>
      </c>
      <c r="H234">
        <v>4</v>
      </c>
      <c r="I234" t="s">
        <v>46</v>
      </c>
      <c r="J234">
        <f>VLOOKUP(Shoe_Sales[[#This Row],[Product]],products!$A$1:$C$9,3,0)</f>
        <v>39</v>
      </c>
      <c r="K234">
        <f>VLOOKUP(Shoe_Sales[[#This Row],[Product]],products!$A$1:$C$9,2,FALSE)</f>
        <v>76</v>
      </c>
      <c r="L234">
        <f>Shoe_Sales[[#This Row],[Cost Price]]*Shoe_Sales[[#This Row],[Quantity]]</f>
        <v>156</v>
      </c>
      <c r="M234">
        <f>Shoe_Sales[[#This Row],[Selling Price]]*Shoe_Sales[[#This Row],[Quantity]]</f>
        <v>304</v>
      </c>
      <c r="N234">
        <f>Shoe_Sales[[#This Row],[Revenue]]-Shoe_Sales[[#This Row],[Cost]]</f>
        <v>148</v>
      </c>
      <c r="O234" s="3">
        <f>Shoe_Sales[[#This Row],[Profit]]/Shoe_Sales[[#This Row],[Revenue]]</f>
        <v>0.48684210526315791</v>
      </c>
    </row>
    <row r="235" spans="1:15" x14ac:dyDescent="0.35">
      <c r="A235" s="2" t="s">
        <v>284</v>
      </c>
      <c r="B235" s="2">
        <v>46131</v>
      </c>
      <c r="C235" t="s">
        <v>33</v>
      </c>
      <c r="D235" t="s">
        <v>31</v>
      </c>
      <c r="E235" t="s">
        <v>20</v>
      </c>
      <c r="F235" t="s">
        <v>17</v>
      </c>
      <c r="G235" t="s">
        <v>34</v>
      </c>
      <c r="H235">
        <v>1</v>
      </c>
      <c r="I235" t="s">
        <v>46</v>
      </c>
      <c r="J235">
        <f>VLOOKUP(Shoe_Sales[[#This Row],[Product]],products!$A$1:$C$9,3,0)</f>
        <v>28</v>
      </c>
      <c r="K235">
        <f>VLOOKUP(Shoe_Sales[[#This Row],[Product]],products!$A$1:$C$9,2,FALSE)</f>
        <v>54</v>
      </c>
      <c r="L235">
        <f>Shoe_Sales[[#This Row],[Cost Price]]*Shoe_Sales[[#This Row],[Quantity]]</f>
        <v>28</v>
      </c>
      <c r="M235">
        <f>Shoe_Sales[[#This Row],[Selling Price]]*Shoe_Sales[[#This Row],[Quantity]]</f>
        <v>54</v>
      </c>
      <c r="N235">
        <f>Shoe_Sales[[#This Row],[Revenue]]-Shoe_Sales[[#This Row],[Cost]]</f>
        <v>26</v>
      </c>
      <c r="O235" s="3">
        <f>Shoe_Sales[[#This Row],[Profit]]/Shoe_Sales[[#This Row],[Revenue]]</f>
        <v>0.48148148148148145</v>
      </c>
    </row>
    <row r="236" spans="1:15" x14ac:dyDescent="0.35">
      <c r="A236" s="2" t="s">
        <v>285</v>
      </c>
      <c r="B236" s="2">
        <v>46131</v>
      </c>
      <c r="C236" t="s">
        <v>41</v>
      </c>
      <c r="D236" t="s">
        <v>25</v>
      </c>
      <c r="E236" t="s">
        <v>20</v>
      </c>
      <c r="F236" t="s">
        <v>29</v>
      </c>
      <c r="G236" t="s">
        <v>18</v>
      </c>
      <c r="H236">
        <v>1</v>
      </c>
      <c r="I236" t="s">
        <v>45</v>
      </c>
      <c r="J236">
        <f>VLOOKUP(Shoe_Sales[[#This Row],[Product]],products!$A$1:$C$9,3,0)</f>
        <v>39</v>
      </c>
      <c r="K236">
        <f>VLOOKUP(Shoe_Sales[[#This Row],[Product]],products!$A$1:$C$9,2,FALSE)</f>
        <v>76</v>
      </c>
      <c r="L236">
        <f>Shoe_Sales[[#This Row],[Cost Price]]*Shoe_Sales[[#This Row],[Quantity]]</f>
        <v>39</v>
      </c>
      <c r="M236">
        <f>Shoe_Sales[[#This Row],[Selling Price]]*Shoe_Sales[[#This Row],[Quantity]]</f>
        <v>76</v>
      </c>
      <c r="N236">
        <f>Shoe_Sales[[#This Row],[Revenue]]-Shoe_Sales[[#This Row],[Cost]]</f>
        <v>37</v>
      </c>
      <c r="O236" s="3">
        <f>Shoe_Sales[[#This Row],[Profit]]/Shoe_Sales[[#This Row],[Revenue]]</f>
        <v>0.48684210526315791</v>
      </c>
    </row>
    <row r="237" spans="1:15" x14ac:dyDescent="0.35">
      <c r="A237" s="2" t="s">
        <v>286</v>
      </c>
      <c r="B237" s="2">
        <v>46132</v>
      </c>
      <c r="C237" t="s">
        <v>42</v>
      </c>
      <c r="D237" t="s">
        <v>31</v>
      </c>
      <c r="E237" t="s">
        <v>20</v>
      </c>
      <c r="F237" t="s">
        <v>40</v>
      </c>
      <c r="G237" t="s">
        <v>36</v>
      </c>
      <c r="H237">
        <v>7</v>
      </c>
      <c r="I237" t="s">
        <v>45</v>
      </c>
      <c r="J237">
        <f>VLOOKUP(Shoe_Sales[[#This Row],[Product]],products!$A$1:$C$9,3,0)</f>
        <v>47</v>
      </c>
      <c r="K237">
        <f>VLOOKUP(Shoe_Sales[[#This Row],[Product]],products!$A$1:$C$9,2,FALSE)</f>
        <v>89</v>
      </c>
      <c r="L237">
        <f>Shoe_Sales[[#This Row],[Cost Price]]*Shoe_Sales[[#This Row],[Quantity]]</f>
        <v>329</v>
      </c>
      <c r="M237">
        <f>Shoe_Sales[[#This Row],[Selling Price]]*Shoe_Sales[[#This Row],[Quantity]]</f>
        <v>623</v>
      </c>
      <c r="N237">
        <f>Shoe_Sales[[#This Row],[Revenue]]-Shoe_Sales[[#This Row],[Cost]]</f>
        <v>294</v>
      </c>
      <c r="O237" s="3">
        <f>Shoe_Sales[[#This Row],[Profit]]/Shoe_Sales[[#This Row],[Revenue]]</f>
        <v>0.47191011235955055</v>
      </c>
    </row>
    <row r="238" spans="1:15" x14ac:dyDescent="0.35">
      <c r="A238" s="2" t="s">
        <v>287</v>
      </c>
      <c r="B238" s="2">
        <v>46132</v>
      </c>
      <c r="C238" t="s">
        <v>41</v>
      </c>
      <c r="D238" t="s">
        <v>25</v>
      </c>
      <c r="E238" t="s">
        <v>11</v>
      </c>
      <c r="F238" t="s">
        <v>8</v>
      </c>
      <c r="G238" t="s">
        <v>24</v>
      </c>
      <c r="H238">
        <v>8</v>
      </c>
      <c r="I238" t="s">
        <v>45</v>
      </c>
      <c r="J238">
        <f>VLOOKUP(Shoe_Sales[[#This Row],[Product]],products!$A$1:$C$9,3,0)</f>
        <v>39</v>
      </c>
      <c r="K238">
        <f>VLOOKUP(Shoe_Sales[[#This Row],[Product]],products!$A$1:$C$9,2,FALSE)</f>
        <v>76</v>
      </c>
      <c r="L238">
        <f>Shoe_Sales[[#This Row],[Cost Price]]*Shoe_Sales[[#This Row],[Quantity]]</f>
        <v>312</v>
      </c>
      <c r="M238">
        <f>Shoe_Sales[[#This Row],[Selling Price]]*Shoe_Sales[[#This Row],[Quantity]]</f>
        <v>608</v>
      </c>
      <c r="N238">
        <f>Shoe_Sales[[#This Row],[Revenue]]-Shoe_Sales[[#This Row],[Cost]]</f>
        <v>296</v>
      </c>
      <c r="O238" s="3">
        <f>Shoe_Sales[[#This Row],[Profit]]/Shoe_Sales[[#This Row],[Revenue]]</f>
        <v>0.48684210526315791</v>
      </c>
    </row>
    <row r="239" spans="1:15" x14ac:dyDescent="0.35">
      <c r="A239" s="2" t="s">
        <v>288</v>
      </c>
      <c r="B239" s="2">
        <v>46133</v>
      </c>
      <c r="C239" t="s">
        <v>38</v>
      </c>
      <c r="D239" t="s">
        <v>25</v>
      </c>
      <c r="E239" t="s">
        <v>20</v>
      </c>
      <c r="F239" t="s">
        <v>8</v>
      </c>
      <c r="G239" t="s">
        <v>32</v>
      </c>
      <c r="H239">
        <v>11</v>
      </c>
      <c r="I239" t="s">
        <v>46</v>
      </c>
      <c r="J239">
        <f>VLOOKUP(Shoe_Sales[[#This Row],[Product]],products!$A$1:$C$9,3,0)</f>
        <v>64</v>
      </c>
      <c r="K239">
        <f>VLOOKUP(Shoe_Sales[[#This Row],[Product]],products!$A$1:$C$9,2,FALSE)</f>
        <v>112</v>
      </c>
      <c r="L239">
        <f>Shoe_Sales[[#This Row],[Cost Price]]*Shoe_Sales[[#This Row],[Quantity]]</f>
        <v>704</v>
      </c>
      <c r="M239">
        <f>Shoe_Sales[[#This Row],[Selling Price]]*Shoe_Sales[[#This Row],[Quantity]]</f>
        <v>1232</v>
      </c>
      <c r="N239">
        <f>Shoe_Sales[[#This Row],[Revenue]]-Shoe_Sales[[#This Row],[Cost]]</f>
        <v>528</v>
      </c>
      <c r="O239" s="3">
        <f>Shoe_Sales[[#This Row],[Profit]]/Shoe_Sales[[#This Row],[Revenue]]</f>
        <v>0.42857142857142855</v>
      </c>
    </row>
    <row r="240" spans="1:15" x14ac:dyDescent="0.35">
      <c r="A240" s="2" t="s">
        <v>289</v>
      </c>
      <c r="B240" s="2">
        <v>46133</v>
      </c>
      <c r="C240" t="s">
        <v>27</v>
      </c>
      <c r="D240" t="s">
        <v>31</v>
      </c>
      <c r="E240" t="s">
        <v>11</v>
      </c>
      <c r="F240" t="s">
        <v>35</v>
      </c>
      <c r="G240" t="s">
        <v>24</v>
      </c>
      <c r="H240">
        <v>5</v>
      </c>
      <c r="I240" t="s">
        <v>47</v>
      </c>
      <c r="J240">
        <f>VLOOKUP(Shoe_Sales[[#This Row],[Product]],products!$A$1:$C$9,3,0)</f>
        <v>14</v>
      </c>
      <c r="K240">
        <f>VLOOKUP(Shoe_Sales[[#This Row],[Product]],products!$A$1:$C$9,2,FALSE)</f>
        <v>32</v>
      </c>
      <c r="L240">
        <f>Shoe_Sales[[#This Row],[Cost Price]]*Shoe_Sales[[#This Row],[Quantity]]</f>
        <v>70</v>
      </c>
      <c r="M240">
        <f>Shoe_Sales[[#This Row],[Selling Price]]*Shoe_Sales[[#This Row],[Quantity]]</f>
        <v>160</v>
      </c>
      <c r="N240">
        <f>Shoe_Sales[[#This Row],[Revenue]]-Shoe_Sales[[#This Row],[Cost]]</f>
        <v>90</v>
      </c>
      <c r="O240" s="3">
        <f>Shoe_Sales[[#This Row],[Profit]]/Shoe_Sales[[#This Row],[Revenue]]</f>
        <v>0.5625</v>
      </c>
    </row>
    <row r="241" spans="1:15" x14ac:dyDescent="0.35">
      <c r="A241" s="2" t="s">
        <v>290</v>
      </c>
      <c r="B241" s="2">
        <v>46134</v>
      </c>
      <c r="C241" t="s">
        <v>27</v>
      </c>
      <c r="D241" t="s">
        <v>25</v>
      </c>
      <c r="E241" t="s">
        <v>16</v>
      </c>
      <c r="F241" t="s">
        <v>29</v>
      </c>
      <c r="G241" t="s">
        <v>21</v>
      </c>
      <c r="H241">
        <v>4</v>
      </c>
      <c r="I241" t="s">
        <v>46</v>
      </c>
      <c r="J241">
        <f>VLOOKUP(Shoe_Sales[[#This Row],[Product]],products!$A$1:$C$9,3,0)</f>
        <v>14</v>
      </c>
      <c r="K241">
        <f>VLOOKUP(Shoe_Sales[[#This Row],[Product]],products!$A$1:$C$9,2,FALSE)</f>
        <v>32</v>
      </c>
      <c r="L241">
        <f>Shoe_Sales[[#This Row],[Cost Price]]*Shoe_Sales[[#This Row],[Quantity]]</f>
        <v>56</v>
      </c>
      <c r="M241">
        <f>Shoe_Sales[[#This Row],[Selling Price]]*Shoe_Sales[[#This Row],[Quantity]]</f>
        <v>128</v>
      </c>
      <c r="N241">
        <f>Shoe_Sales[[#This Row],[Revenue]]-Shoe_Sales[[#This Row],[Cost]]</f>
        <v>72</v>
      </c>
      <c r="O241" s="3">
        <f>Shoe_Sales[[#This Row],[Profit]]/Shoe_Sales[[#This Row],[Revenue]]</f>
        <v>0.5625</v>
      </c>
    </row>
    <row r="242" spans="1:15" x14ac:dyDescent="0.35">
      <c r="A242" s="2" t="s">
        <v>291</v>
      </c>
      <c r="B242" s="2">
        <v>46134</v>
      </c>
      <c r="C242" t="s">
        <v>39</v>
      </c>
      <c r="D242" t="s">
        <v>10</v>
      </c>
      <c r="E242" t="s">
        <v>7</v>
      </c>
      <c r="F242" t="s">
        <v>17</v>
      </c>
      <c r="G242" t="s">
        <v>34</v>
      </c>
      <c r="H242">
        <v>14</v>
      </c>
      <c r="I242" t="s">
        <v>47</v>
      </c>
      <c r="J242">
        <f>VLOOKUP(Shoe_Sales[[#This Row],[Product]],products!$A$1:$C$9,3,0)</f>
        <v>72</v>
      </c>
      <c r="K242">
        <f>VLOOKUP(Shoe_Sales[[#This Row],[Product]],products!$A$1:$C$9,2,FALSE)</f>
        <v>128</v>
      </c>
      <c r="L242">
        <f>Shoe_Sales[[#This Row],[Cost Price]]*Shoe_Sales[[#This Row],[Quantity]]</f>
        <v>1008</v>
      </c>
      <c r="M242">
        <f>Shoe_Sales[[#This Row],[Selling Price]]*Shoe_Sales[[#This Row],[Quantity]]</f>
        <v>1792</v>
      </c>
      <c r="N242">
        <f>Shoe_Sales[[#This Row],[Revenue]]-Shoe_Sales[[#This Row],[Cost]]</f>
        <v>784</v>
      </c>
      <c r="O242" s="3">
        <f>Shoe_Sales[[#This Row],[Profit]]/Shoe_Sales[[#This Row],[Revenue]]</f>
        <v>0.4375</v>
      </c>
    </row>
    <row r="243" spans="1:15" x14ac:dyDescent="0.35">
      <c r="A243" s="2" t="s">
        <v>292</v>
      </c>
      <c r="B243" s="2">
        <v>46134</v>
      </c>
      <c r="C243" t="s">
        <v>22</v>
      </c>
      <c r="D243" t="s">
        <v>19</v>
      </c>
      <c r="E243" t="s">
        <v>11</v>
      </c>
      <c r="F243" t="s">
        <v>35</v>
      </c>
      <c r="G243" t="s">
        <v>37</v>
      </c>
      <c r="H243">
        <v>6</v>
      </c>
      <c r="I243" t="s">
        <v>48</v>
      </c>
      <c r="J243">
        <f>VLOOKUP(Shoe_Sales[[#This Row],[Product]],products!$A$1:$C$9,3,0)</f>
        <v>58</v>
      </c>
      <c r="K243">
        <f>VLOOKUP(Shoe_Sales[[#This Row],[Product]],products!$A$1:$C$9,2,FALSE)</f>
        <v>105</v>
      </c>
      <c r="L243">
        <f>Shoe_Sales[[#This Row],[Cost Price]]*Shoe_Sales[[#This Row],[Quantity]]</f>
        <v>348</v>
      </c>
      <c r="M243">
        <f>Shoe_Sales[[#This Row],[Selling Price]]*Shoe_Sales[[#This Row],[Quantity]]</f>
        <v>630</v>
      </c>
      <c r="N243">
        <f>Shoe_Sales[[#This Row],[Revenue]]-Shoe_Sales[[#This Row],[Cost]]</f>
        <v>282</v>
      </c>
      <c r="O243" s="3">
        <f>Shoe_Sales[[#This Row],[Profit]]/Shoe_Sales[[#This Row],[Revenue]]</f>
        <v>0.44761904761904764</v>
      </c>
    </row>
    <row r="244" spans="1:15" x14ac:dyDescent="0.35">
      <c r="A244" s="2" t="s">
        <v>293</v>
      </c>
      <c r="B244" s="2">
        <v>46134</v>
      </c>
      <c r="C244" t="s">
        <v>33</v>
      </c>
      <c r="D244" t="s">
        <v>19</v>
      </c>
      <c r="E244" t="s">
        <v>16</v>
      </c>
      <c r="F244" t="s">
        <v>35</v>
      </c>
      <c r="G244" t="s">
        <v>12</v>
      </c>
      <c r="H244">
        <v>14</v>
      </c>
      <c r="I244" t="s">
        <v>48</v>
      </c>
      <c r="J244">
        <f>VLOOKUP(Shoe_Sales[[#This Row],[Product]],products!$A$1:$C$9,3,0)</f>
        <v>28</v>
      </c>
      <c r="K244">
        <f>VLOOKUP(Shoe_Sales[[#This Row],[Product]],products!$A$1:$C$9,2,FALSE)</f>
        <v>54</v>
      </c>
      <c r="L244">
        <f>Shoe_Sales[[#This Row],[Cost Price]]*Shoe_Sales[[#This Row],[Quantity]]</f>
        <v>392</v>
      </c>
      <c r="M244">
        <f>Shoe_Sales[[#This Row],[Selling Price]]*Shoe_Sales[[#This Row],[Quantity]]</f>
        <v>756</v>
      </c>
      <c r="N244">
        <f>Shoe_Sales[[#This Row],[Revenue]]-Shoe_Sales[[#This Row],[Cost]]</f>
        <v>364</v>
      </c>
      <c r="O244" s="3">
        <f>Shoe_Sales[[#This Row],[Profit]]/Shoe_Sales[[#This Row],[Revenue]]</f>
        <v>0.48148148148148145</v>
      </c>
    </row>
    <row r="245" spans="1:15" x14ac:dyDescent="0.35">
      <c r="A245" s="2" t="s">
        <v>294</v>
      </c>
      <c r="B245" s="2">
        <v>46137</v>
      </c>
      <c r="C245" t="s">
        <v>38</v>
      </c>
      <c r="D245" t="s">
        <v>25</v>
      </c>
      <c r="E245" t="s">
        <v>14</v>
      </c>
      <c r="F245" t="s">
        <v>8</v>
      </c>
      <c r="G245" t="s">
        <v>26</v>
      </c>
      <c r="H245">
        <v>10</v>
      </c>
      <c r="I245" t="s">
        <v>48</v>
      </c>
      <c r="J245">
        <f>VLOOKUP(Shoe_Sales[[#This Row],[Product]],products!$A$1:$C$9,3,0)</f>
        <v>64</v>
      </c>
      <c r="K245">
        <f>VLOOKUP(Shoe_Sales[[#This Row],[Product]],products!$A$1:$C$9,2,FALSE)</f>
        <v>112</v>
      </c>
      <c r="L245">
        <f>Shoe_Sales[[#This Row],[Cost Price]]*Shoe_Sales[[#This Row],[Quantity]]</f>
        <v>640</v>
      </c>
      <c r="M245">
        <f>Shoe_Sales[[#This Row],[Selling Price]]*Shoe_Sales[[#This Row],[Quantity]]</f>
        <v>1120</v>
      </c>
      <c r="N245">
        <f>Shoe_Sales[[#This Row],[Revenue]]-Shoe_Sales[[#This Row],[Cost]]</f>
        <v>480</v>
      </c>
      <c r="O245" s="3">
        <f>Shoe_Sales[[#This Row],[Profit]]/Shoe_Sales[[#This Row],[Revenue]]</f>
        <v>0.42857142857142855</v>
      </c>
    </row>
    <row r="246" spans="1:15" x14ac:dyDescent="0.35">
      <c r="A246" s="2" t="s">
        <v>295</v>
      </c>
      <c r="B246" s="2">
        <v>46137</v>
      </c>
      <c r="C246" t="s">
        <v>13</v>
      </c>
      <c r="D246" t="s">
        <v>10</v>
      </c>
      <c r="E246" t="s">
        <v>14</v>
      </c>
      <c r="F246" t="s">
        <v>8</v>
      </c>
      <c r="G246" t="s">
        <v>30</v>
      </c>
      <c r="H246">
        <v>8</v>
      </c>
      <c r="I246" t="s">
        <v>45</v>
      </c>
      <c r="J246">
        <f>VLOOKUP(Shoe_Sales[[#This Row],[Product]],products!$A$1:$C$9,3,0)</f>
        <v>67</v>
      </c>
      <c r="K246">
        <f>VLOOKUP(Shoe_Sales[[#This Row],[Product]],products!$A$1:$C$9,2,FALSE)</f>
        <v>119</v>
      </c>
      <c r="L246">
        <f>Shoe_Sales[[#This Row],[Cost Price]]*Shoe_Sales[[#This Row],[Quantity]]</f>
        <v>536</v>
      </c>
      <c r="M246">
        <f>Shoe_Sales[[#This Row],[Selling Price]]*Shoe_Sales[[#This Row],[Quantity]]</f>
        <v>952</v>
      </c>
      <c r="N246">
        <f>Shoe_Sales[[#This Row],[Revenue]]-Shoe_Sales[[#This Row],[Cost]]</f>
        <v>416</v>
      </c>
      <c r="O246" s="3">
        <f>Shoe_Sales[[#This Row],[Profit]]/Shoe_Sales[[#This Row],[Revenue]]</f>
        <v>0.43697478991596639</v>
      </c>
    </row>
    <row r="247" spans="1:15" x14ac:dyDescent="0.35">
      <c r="A247" s="2" t="s">
        <v>296</v>
      </c>
      <c r="B247" s="2">
        <v>46138</v>
      </c>
      <c r="C247" t="s">
        <v>22</v>
      </c>
      <c r="D247" t="s">
        <v>31</v>
      </c>
      <c r="E247" t="s">
        <v>14</v>
      </c>
      <c r="F247" t="s">
        <v>8</v>
      </c>
      <c r="G247" t="s">
        <v>12</v>
      </c>
      <c r="H247">
        <v>12</v>
      </c>
      <c r="I247" t="s">
        <v>46</v>
      </c>
      <c r="J247">
        <f>VLOOKUP(Shoe_Sales[[#This Row],[Product]],products!$A$1:$C$9,3,0)</f>
        <v>58</v>
      </c>
      <c r="K247">
        <f>VLOOKUP(Shoe_Sales[[#This Row],[Product]],products!$A$1:$C$9,2,FALSE)</f>
        <v>105</v>
      </c>
      <c r="L247">
        <f>Shoe_Sales[[#This Row],[Cost Price]]*Shoe_Sales[[#This Row],[Quantity]]</f>
        <v>696</v>
      </c>
      <c r="M247">
        <f>Shoe_Sales[[#This Row],[Selling Price]]*Shoe_Sales[[#This Row],[Quantity]]</f>
        <v>1260</v>
      </c>
      <c r="N247">
        <f>Shoe_Sales[[#This Row],[Revenue]]-Shoe_Sales[[#This Row],[Cost]]</f>
        <v>564</v>
      </c>
      <c r="O247" s="3">
        <f>Shoe_Sales[[#This Row],[Profit]]/Shoe_Sales[[#This Row],[Revenue]]</f>
        <v>0.44761904761904764</v>
      </c>
    </row>
    <row r="248" spans="1:15" x14ac:dyDescent="0.35">
      <c r="A248" s="2" t="s">
        <v>297</v>
      </c>
      <c r="B248" s="2">
        <v>46140</v>
      </c>
      <c r="C248" t="s">
        <v>33</v>
      </c>
      <c r="D248" t="s">
        <v>31</v>
      </c>
      <c r="E248" t="s">
        <v>16</v>
      </c>
      <c r="F248" t="s">
        <v>35</v>
      </c>
      <c r="G248" t="s">
        <v>12</v>
      </c>
      <c r="H248">
        <v>6</v>
      </c>
      <c r="I248" t="s">
        <v>48</v>
      </c>
      <c r="J248">
        <f>VLOOKUP(Shoe_Sales[[#This Row],[Product]],products!$A$1:$C$9,3,0)</f>
        <v>28</v>
      </c>
      <c r="K248">
        <f>VLOOKUP(Shoe_Sales[[#This Row],[Product]],products!$A$1:$C$9,2,FALSE)</f>
        <v>54</v>
      </c>
      <c r="L248">
        <f>Shoe_Sales[[#This Row],[Cost Price]]*Shoe_Sales[[#This Row],[Quantity]]</f>
        <v>168</v>
      </c>
      <c r="M248">
        <f>Shoe_Sales[[#This Row],[Selling Price]]*Shoe_Sales[[#This Row],[Quantity]]</f>
        <v>324</v>
      </c>
      <c r="N248">
        <f>Shoe_Sales[[#This Row],[Revenue]]-Shoe_Sales[[#This Row],[Cost]]</f>
        <v>156</v>
      </c>
      <c r="O248" s="3">
        <f>Shoe_Sales[[#This Row],[Profit]]/Shoe_Sales[[#This Row],[Revenue]]</f>
        <v>0.48148148148148145</v>
      </c>
    </row>
    <row r="249" spans="1:15" x14ac:dyDescent="0.35">
      <c r="A249" s="2" t="s">
        <v>298</v>
      </c>
      <c r="B249" s="2">
        <v>46140</v>
      </c>
      <c r="C249" t="s">
        <v>27</v>
      </c>
      <c r="D249" t="s">
        <v>10</v>
      </c>
      <c r="E249" t="s">
        <v>14</v>
      </c>
      <c r="F249" t="s">
        <v>17</v>
      </c>
      <c r="G249" t="s">
        <v>32</v>
      </c>
      <c r="H249">
        <v>9</v>
      </c>
      <c r="I249" t="s">
        <v>48</v>
      </c>
      <c r="J249">
        <f>VLOOKUP(Shoe_Sales[[#This Row],[Product]],products!$A$1:$C$9,3,0)</f>
        <v>14</v>
      </c>
      <c r="K249">
        <f>VLOOKUP(Shoe_Sales[[#This Row],[Product]],products!$A$1:$C$9,2,FALSE)</f>
        <v>32</v>
      </c>
      <c r="L249">
        <f>Shoe_Sales[[#This Row],[Cost Price]]*Shoe_Sales[[#This Row],[Quantity]]</f>
        <v>126</v>
      </c>
      <c r="M249">
        <f>Shoe_Sales[[#This Row],[Selling Price]]*Shoe_Sales[[#This Row],[Quantity]]</f>
        <v>288</v>
      </c>
      <c r="N249">
        <f>Shoe_Sales[[#This Row],[Revenue]]-Shoe_Sales[[#This Row],[Cost]]</f>
        <v>162</v>
      </c>
      <c r="O249" s="3">
        <f>Shoe_Sales[[#This Row],[Profit]]/Shoe_Sales[[#This Row],[Revenue]]</f>
        <v>0.5625</v>
      </c>
    </row>
    <row r="250" spans="1:15" x14ac:dyDescent="0.35">
      <c r="A250" s="2" t="s">
        <v>299</v>
      </c>
      <c r="B250" s="2">
        <v>46141</v>
      </c>
      <c r="C250" t="s">
        <v>38</v>
      </c>
      <c r="D250" t="s">
        <v>25</v>
      </c>
      <c r="E250" t="s">
        <v>11</v>
      </c>
      <c r="F250" t="s">
        <v>35</v>
      </c>
      <c r="G250" t="s">
        <v>24</v>
      </c>
      <c r="H250">
        <v>8</v>
      </c>
      <c r="I250" t="s">
        <v>45</v>
      </c>
      <c r="J250">
        <f>VLOOKUP(Shoe_Sales[[#This Row],[Product]],products!$A$1:$C$9,3,0)</f>
        <v>64</v>
      </c>
      <c r="K250">
        <f>VLOOKUP(Shoe_Sales[[#This Row],[Product]],products!$A$1:$C$9,2,FALSE)</f>
        <v>112</v>
      </c>
      <c r="L250">
        <f>Shoe_Sales[[#This Row],[Cost Price]]*Shoe_Sales[[#This Row],[Quantity]]</f>
        <v>512</v>
      </c>
      <c r="M250">
        <f>Shoe_Sales[[#This Row],[Selling Price]]*Shoe_Sales[[#This Row],[Quantity]]</f>
        <v>896</v>
      </c>
      <c r="N250">
        <f>Shoe_Sales[[#This Row],[Revenue]]-Shoe_Sales[[#This Row],[Cost]]</f>
        <v>384</v>
      </c>
      <c r="O250" s="3">
        <f>Shoe_Sales[[#This Row],[Profit]]/Shoe_Sales[[#This Row],[Revenue]]</f>
        <v>0.42857142857142855</v>
      </c>
    </row>
    <row r="251" spans="1:15" x14ac:dyDescent="0.35">
      <c r="A251" s="2" t="s">
        <v>300</v>
      </c>
      <c r="B251" s="2">
        <v>46142</v>
      </c>
      <c r="C251" t="s">
        <v>38</v>
      </c>
      <c r="D251" t="s">
        <v>31</v>
      </c>
      <c r="E251" t="s">
        <v>7</v>
      </c>
      <c r="F251" t="s">
        <v>35</v>
      </c>
      <c r="G251" t="s">
        <v>23</v>
      </c>
      <c r="H251">
        <v>10</v>
      </c>
      <c r="I251" t="s">
        <v>48</v>
      </c>
      <c r="J251">
        <f>VLOOKUP(Shoe_Sales[[#This Row],[Product]],products!$A$1:$C$9,3,0)</f>
        <v>64</v>
      </c>
      <c r="K251">
        <f>VLOOKUP(Shoe_Sales[[#This Row],[Product]],products!$A$1:$C$9,2,FALSE)</f>
        <v>112</v>
      </c>
      <c r="L251">
        <f>Shoe_Sales[[#This Row],[Cost Price]]*Shoe_Sales[[#This Row],[Quantity]]</f>
        <v>640</v>
      </c>
      <c r="M251">
        <f>Shoe_Sales[[#This Row],[Selling Price]]*Shoe_Sales[[#This Row],[Quantity]]</f>
        <v>1120</v>
      </c>
      <c r="N251">
        <f>Shoe_Sales[[#This Row],[Revenue]]-Shoe_Sales[[#This Row],[Cost]]</f>
        <v>480</v>
      </c>
      <c r="O251" s="3">
        <f>Shoe_Sales[[#This Row],[Profit]]/Shoe_Sales[[#This Row],[Revenue]]</f>
        <v>0.42857142857142855</v>
      </c>
    </row>
    <row r="252" spans="1:15" x14ac:dyDescent="0.35">
      <c r="A252" s="2" t="s">
        <v>301</v>
      </c>
      <c r="B252" s="2">
        <v>46142</v>
      </c>
      <c r="C252" t="s">
        <v>22</v>
      </c>
      <c r="D252" t="s">
        <v>25</v>
      </c>
      <c r="E252" t="s">
        <v>14</v>
      </c>
      <c r="F252" t="s">
        <v>17</v>
      </c>
      <c r="G252" t="s">
        <v>9</v>
      </c>
      <c r="H252">
        <v>2</v>
      </c>
      <c r="I252" t="s">
        <v>45</v>
      </c>
      <c r="J252">
        <f>VLOOKUP(Shoe_Sales[[#This Row],[Product]],products!$A$1:$C$9,3,0)</f>
        <v>58</v>
      </c>
      <c r="K252">
        <f>VLOOKUP(Shoe_Sales[[#This Row],[Product]],products!$A$1:$C$9,2,FALSE)</f>
        <v>105</v>
      </c>
      <c r="L252">
        <f>Shoe_Sales[[#This Row],[Cost Price]]*Shoe_Sales[[#This Row],[Quantity]]</f>
        <v>116</v>
      </c>
      <c r="M252">
        <f>Shoe_Sales[[#This Row],[Selling Price]]*Shoe_Sales[[#This Row],[Quantity]]</f>
        <v>210</v>
      </c>
      <c r="N252">
        <f>Shoe_Sales[[#This Row],[Revenue]]-Shoe_Sales[[#This Row],[Cost]]</f>
        <v>94</v>
      </c>
      <c r="O252" s="3">
        <f>Shoe_Sales[[#This Row],[Profit]]/Shoe_Sales[[#This Row],[Revenue]]</f>
        <v>0.44761904761904764</v>
      </c>
    </row>
    <row r="253" spans="1:15" x14ac:dyDescent="0.35">
      <c r="A253" s="2" t="s">
        <v>302</v>
      </c>
      <c r="B253" s="2">
        <v>46142</v>
      </c>
      <c r="C253" t="s">
        <v>39</v>
      </c>
      <c r="D253" t="s">
        <v>10</v>
      </c>
      <c r="E253" t="s">
        <v>14</v>
      </c>
      <c r="F253" t="s">
        <v>8</v>
      </c>
      <c r="G253" t="s">
        <v>30</v>
      </c>
      <c r="H253">
        <v>10</v>
      </c>
      <c r="I253" t="s">
        <v>45</v>
      </c>
      <c r="J253">
        <f>VLOOKUP(Shoe_Sales[[#This Row],[Product]],products!$A$1:$C$9,3,0)</f>
        <v>72</v>
      </c>
      <c r="K253">
        <f>VLOOKUP(Shoe_Sales[[#This Row],[Product]],products!$A$1:$C$9,2,FALSE)</f>
        <v>128</v>
      </c>
      <c r="L253">
        <f>Shoe_Sales[[#This Row],[Cost Price]]*Shoe_Sales[[#This Row],[Quantity]]</f>
        <v>720</v>
      </c>
      <c r="M253">
        <f>Shoe_Sales[[#This Row],[Selling Price]]*Shoe_Sales[[#This Row],[Quantity]]</f>
        <v>1280</v>
      </c>
      <c r="N253">
        <f>Shoe_Sales[[#This Row],[Revenue]]-Shoe_Sales[[#This Row],[Cost]]</f>
        <v>560</v>
      </c>
      <c r="O253" s="3">
        <f>Shoe_Sales[[#This Row],[Profit]]/Shoe_Sales[[#This Row],[Revenue]]</f>
        <v>0.4375</v>
      </c>
    </row>
    <row r="254" spans="1:15" x14ac:dyDescent="0.35">
      <c r="A254" s="2" t="s">
        <v>303</v>
      </c>
      <c r="B254" s="2">
        <v>46142</v>
      </c>
      <c r="C254" t="s">
        <v>42</v>
      </c>
      <c r="D254" t="s">
        <v>31</v>
      </c>
      <c r="E254" t="s">
        <v>11</v>
      </c>
      <c r="F254" t="s">
        <v>8</v>
      </c>
      <c r="G254" t="s">
        <v>30</v>
      </c>
      <c r="H254">
        <v>11</v>
      </c>
      <c r="I254" t="s">
        <v>48</v>
      </c>
      <c r="J254">
        <f>VLOOKUP(Shoe_Sales[[#This Row],[Product]],products!$A$1:$C$9,3,0)</f>
        <v>47</v>
      </c>
      <c r="K254">
        <f>VLOOKUP(Shoe_Sales[[#This Row],[Product]],products!$A$1:$C$9,2,FALSE)</f>
        <v>89</v>
      </c>
      <c r="L254">
        <f>Shoe_Sales[[#This Row],[Cost Price]]*Shoe_Sales[[#This Row],[Quantity]]</f>
        <v>517</v>
      </c>
      <c r="M254">
        <f>Shoe_Sales[[#This Row],[Selling Price]]*Shoe_Sales[[#This Row],[Quantity]]</f>
        <v>979</v>
      </c>
      <c r="N254">
        <f>Shoe_Sales[[#This Row],[Revenue]]-Shoe_Sales[[#This Row],[Cost]]</f>
        <v>462</v>
      </c>
      <c r="O254" s="3">
        <f>Shoe_Sales[[#This Row],[Profit]]/Shoe_Sales[[#This Row],[Revenue]]</f>
        <v>0.47191011235955055</v>
      </c>
    </row>
    <row r="255" spans="1:15" x14ac:dyDescent="0.35">
      <c r="A255" s="2" t="s">
        <v>304</v>
      </c>
      <c r="B255" s="2">
        <v>46142</v>
      </c>
      <c r="C255" t="s">
        <v>38</v>
      </c>
      <c r="D255" t="s">
        <v>19</v>
      </c>
      <c r="E255" t="s">
        <v>7</v>
      </c>
      <c r="F255" t="s">
        <v>40</v>
      </c>
      <c r="G255" t="s">
        <v>30</v>
      </c>
      <c r="H255">
        <v>10</v>
      </c>
      <c r="I255" t="s">
        <v>48</v>
      </c>
      <c r="J255">
        <f>VLOOKUP(Shoe_Sales[[#This Row],[Product]],products!$A$1:$C$9,3,0)</f>
        <v>64</v>
      </c>
      <c r="K255">
        <f>VLOOKUP(Shoe_Sales[[#This Row],[Product]],products!$A$1:$C$9,2,FALSE)</f>
        <v>112</v>
      </c>
      <c r="L255">
        <f>Shoe_Sales[[#This Row],[Cost Price]]*Shoe_Sales[[#This Row],[Quantity]]</f>
        <v>640</v>
      </c>
      <c r="M255">
        <f>Shoe_Sales[[#This Row],[Selling Price]]*Shoe_Sales[[#This Row],[Quantity]]</f>
        <v>1120</v>
      </c>
      <c r="N255">
        <f>Shoe_Sales[[#This Row],[Revenue]]-Shoe_Sales[[#This Row],[Cost]]</f>
        <v>480</v>
      </c>
      <c r="O255" s="3">
        <f>Shoe_Sales[[#This Row],[Profit]]/Shoe_Sales[[#This Row],[Revenue]]</f>
        <v>0.42857142857142855</v>
      </c>
    </row>
    <row r="256" spans="1:15" x14ac:dyDescent="0.35">
      <c r="A256" s="2" t="s">
        <v>305</v>
      </c>
      <c r="B256" s="2">
        <v>46142</v>
      </c>
      <c r="C256" t="s">
        <v>39</v>
      </c>
      <c r="D256" t="s">
        <v>10</v>
      </c>
      <c r="E256" t="s">
        <v>20</v>
      </c>
      <c r="F256" t="s">
        <v>8</v>
      </c>
      <c r="G256" t="s">
        <v>24</v>
      </c>
      <c r="H256">
        <v>7</v>
      </c>
      <c r="I256" t="s">
        <v>45</v>
      </c>
      <c r="J256">
        <f>VLOOKUP(Shoe_Sales[[#This Row],[Product]],products!$A$1:$C$9,3,0)</f>
        <v>72</v>
      </c>
      <c r="K256">
        <f>VLOOKUP(Shoe_Sales[[#This Row],[Product]],products!$A$1:$C$9,2,FALSE)</f>
        <v>128</v>
      </c>
      <c r="L256">
        <f>Shoe_Sales[[#This Row],[Cost Price]]*Shoe_Sales[[#This Row],[Quantity]]</f>
        <v>504</v>
      </c>
      <c r="M256">
        <f>Shoe_Sales[[#This Row],[Selling Price]]*Shoe_Sales[[#This Row],[Quantity]]</f>
        <v>896</v>
      </c>
      <c r="N256">
        <f>Shoe_Sales[[#This Row],[Revenue]]-Shoe_Sales[[#This Row],[Cost]]</f>
        <v>392</v>
      </c>
      <c r="O256" s="3">
        <f>Shoe_Sales[[#This Row],[Profit]]/Shoe_Sales[[#This Row],[Revenue]]</f>
        <v>0.4375</v>
      </c>
    </row>
    <row r="257" spans="1:15" x14ac:dyDescent="0.35">
      <c r="A257" s="2" t="s">
        <v>306</v>
      </c>
      <c r="B257" s="2">
        <v>46144</v>
      </c>
      <c r="C257" t="s">
        <v>42</v>
      </c>
      <c r="D257" t="s">
        <v>25</v>
      </c>
      <c r="E257" t="s">
        <v>14</v>
      </c>
      <c r="F257" t="s">
        <v>17</v>
      </c>
      <c r="G257" t="s">
        <v>18</v>
      </c>
      <c r="H257">
        <v>15</v>
      </c>
      <c r="I257" t="s">
        <v>47</v>
      </c>
      <c r="J257">
        <f>VLOOKUP(Shoe_Sales[[#This Row],[Product]],products!$A$1:$C$9,3,0)</f>
        <v>47</v>
      </c>
      <c r="K257">
        <f>VLOOKUP(Shoe_Sales[[#This Row],[Product]],products!$A$1:$C$9,2,FALSE)</f>
        <v>89</v>
      </c>
      <c r="L257">
        <f>Shoe_Sales[[#This Row],[Cost Price]]*Shoe_Sales[[#This Row],[Quantity]]</f>
        <v>705</v>
      </c>
      <c r="M257">
        <f>Shoe_Sales[[#This Row],[Selling Price]]*Shoe_Sales[[#This Row],[Quantity]]</f>
        <v>1335</v>
      </c>
      <c r="N257">
        <f>Shoe_Sales[[#This Row],[Revenue]]-Shoe_Sales[[#This Row],[Cost]]</f>
        <v>630</v>
      </c>
      <c r="O257" s="3">
        <f>Shoe_Sales[[#This Row],[Profit]]/Shoe_Sales[[#This Row],[Revenue]]</f>
        <v>0.47191011235955055</v>
      </c>
    </row>
    <row r="258" spans="1:15" x14ac:dyDescent="0.35">
      <c r="A258" s="2" t="s">
        <v>307</v>
      </c>
      <c r="B258" s="2">
        <v>46144</v>
      </c>
      <c r="C258" t="s">
        <v>42</v>
      </c>
      <c r="D258" t="s">
        <v>25</v>
      </c>
      <c r="E258" t="s">
        <v>20</v>
      </c>
      <c r="F258" t="s">
        <v>17</v>
      </c>
      <c r="G258" t="s">
        <v>12</v>
      </c>
      <c r="H258">
        <v>6</v>
      </c>
      <c r="I258" t="s">
        <v>45</v>
      </c>
      <c r="J258">
        <f>VLOOKUP(Shoe_Sales[[#This Row],[Product]],products!$A$1:$C$9,3,0)</f>
        <v>47</v>
      </c>
      <c r="K258">
        <f>VLOOKUP(Shoe_Sales[[#This Row],[Product]],products!$A$1:$C$9,2,FALSE)</f>
        <v>89</v>
      </c>
      <c r="L258">
        <f>Shoe_Sales[[#This Row],[Cost Price]]*Shoe_Sales[[#This Row],[Quantity]]</f>
        <v>282</v>
      </c>
      <c r="M258">
        <f>Shoe_Sales[[#This Row],[Selling Price]]*Shoe_Sales[[#This Row],[Quantity]]</f>
        <v>534</v>
      </c>
      <c r="N258">
        <f>Shoe_Sales[[#This Row],[Revenue]]-Shoe_Sales[[#This Row],[Cost]]</f>
        <v>252</v>
      </c>
      <c r="O258" s="3">
        <f>Shoe_Sales[[#This Row],[Profit]]/Shoe_Sales[[#This Row],[Revenue]]</f>
        <v>0.47191011235955055</v>
      </c>
    </row>
    <row r="259" spans="1:15" x14ac:dyDescent="0.35">
      <c r="A259" s="2" t="s">
        <v>308</v>
      </c>
      <c r="B259" s="2">
        <v>46144</v>
      </c>
      <c r="C259" t="s">
        <v>27</v>
      </c>
      <c r="D259" t="s">
        <v>10</v>
      </c>
      <c r="E259" t="s">
        <v>11</v>
      </c>
      <c r="F259" t="s">
        <v>8</v>
      </c>
      <c r="G259" t="s">
        <v>32</v>
      </c>
      <c r="H259">
        <v>3</v>
      </c>
      <c r="I259" t="s">
        <v>45</v>
      </c>
      <c r="J259">
        <f>VLOOKUP(Shoe_Sales[[#This Row],[Product]],products!$A$1:$C$9,3,0)</f>
        <v>14</v>
      </c>
      <c r="K259">
        <f>VLOOKUP(Shoe_Sales[[#This Row],[Product]],products!$A$1:$C$9,2,FALSE)</f>
        <v>32</v>
      </c>
      <c r="L259">
        <f>Shoe_Sales[[#This Row],[Cost Price]]*Shoe_Sales[[#This Row],[Quantity]]</f>
        <v>42</v>
      </c>
      <c r="M259">
        <f>Shoe_Sales[[#This Row],[Selling Price]]*Shoe_Sales[[#This Row],[Quantity]]</f>
        <v>96</v>
      </c>
      <c r="N259">
        <f>Shoe_Sales[[#This Row],[Revenue]]-Shoe_Sales[[#This Row],[Cost]]</f>
        <v>54</v>
      </c>
      <c r="O259" s="3">
        <f>Shoe_Sales[[#This Row],[Profit]]/Shoe_Sales[[#This Row],[Revenue]]</f>
        <v>0.5625</v>
      </c>
    </row>
    <row r="260" spans="1:15" x14ac:dyDescent="0.35">
      <c r="A260" s="2" t="s">
        <v>309</v>
      </c>
      <c r="B260" s="2">
        <v>46144</v>
      </c>
      <c r="C260" t="s">
        <v>33</v>
      </c>
      <c r="D260" t="s">
        <v>19</v>
      </c>
      <c r="E260" t="s">
        <v>20</v>
      </c>
      <c r="F260" t="s">
        <v>35</v>
      </c>
      <c r="G260" t="s">
        <v>28</v>
      </c>
      <c r="H260">
        <v>12</v>
      </c>
      <c r="I260" t="s">
        <v>45</v>
      </c>
      <c r="J260">
        <f>VLOOKUP(Shoe_Sales[[#This Row],[Product]],products!$A$1:$C$9,3,0)</f>
        <v>28</v>
      </c>
      <c r="K260">
        <f>VLOOKUP(Shoe_Sales[[#This Row],[Product]],products!$A$1:$C$9,2,FALSE)</f>
        <v>54</v>
      </c>
      <c r="L260">
        <f>Shoe_Sales[[#This Row],[Cost Price]]*Shoe_Sales[[#This Row],[Quantity]]</f>
        <v>336</v>
      </c>
      <c r="M260">
        <f>Shoe_Sales[[#This Row],[Selling Price]]*Shoe_Sales[[#This Row],[Quantity]]</f>
        <v>648</v>
      </c>
      <c r="N260">
        <f>Shoe_Sales[[#This Row],[Revenue]]-Shoe_Sales[[#This Row],[Cost]]</f>
        <v>312</v>
      </c>
      <c r="O260" s="3">
        <f>Shoe_Sales[[#This Row],[Profit]]/Shoe_Sales[[#This Row],[Revenue]]</f>
        <v>0.48148148148148145</v>
      </c>
    </row>
    <row r="261" spans="1:15" x14ac:dyDescent="0.35">
      <c r="A261" s="2" t="s">
        <v>310</v>
      </c>
      <c r="B261" s="2">
        <v>46145</v>
      </c>
      <c r="C261" t="s">
        <v>41</v>
      </c>
      <c r="D261" t="s">
        <v>25</v>
      </c>
      <c r="E261" t="s">
        <v>14</v>
      </c>
      <c r="F261" t="s">
        <v>8</v>
      </c>
      <c r="G261" t="s">
        <v>9</v>
      </c>
      <c r="H261">
        <v>13</v>
      </c>
      <c r="I261" t="s">
        <v>48</v>
      </c>
      <c r="J261">
        <f>VLOOKUP(Shoe_Sales[[#This Row],[Product]],products!$A$1:$C$9,3,0)</f>
        <v>39</v>
      </c>
      <c r="K261">
        <f>VLOOKUP(Shoe_Sales[[#This Row],[Product]],products!$A$1:$C$9,2,FALSE)</f>
        <v>76</v>
      </c>
      <c r="L261">
        <f>Shoe_Sales[[#This Row],[Cost Price]]*Shoe_Sales[[#This Row],[Quantity]]</f>
        <v>507</v>
      </c>
      <c r="M261">
        <f>Shoe_Sales[[#This Row],[Selling Price]]*Shoe_Sales[[#This Row],[Quantity]]</f>
        <v>988</v>
      </c>
      <c r="N261">
        <f>Shoe_Sales[[#This Row],[Revenue]]-Shoe_Sales[[#This Row],[Cost]]</f>
        <v>481</v>
      </c>
      <c r="O261" s="3">
        <f>Shoe_Sales[[#This Row],[Profit]]/Shoe_Sales[[#This Row],[Revenue]]</f>
        <v>0.48684210526315791</v>
      </c>
    </row>
    <row r="262" spans="1:15" x14ac:dyDescent="0.35">
      <c r="A262" s="2" t="s">
        <v>311</v>
      </c>
      <c r="B262" s="2">
        <v>46146</v>
      </c>
      <c r="C262" t="s">
        <v>38</v>
      </c>
      <c r="D262" t="s">
        <v>25</v>
      </c>
      <c r="E262" t="s">
        <v>16</v>
      </c>
      <c r="F262" t="s">
        <v>8</v>
      </c>
      <c r="G262" t="s">
        <v>36</v>
      </c>
      <c r="H262">
        <v>6</v>
      </c>
      <c r="I262" t="s">
        <v>46</v>
      </c>
      <c r="J262">
        <f>VLOOKUP(Shoe_Sales[[#This Row],[Product]],products!$A$1:$C$9,3,0)</f>
        <v>64</v>
      </c>
      <c r="K262">
        <f>VLOOKUP(Shoe_Sales[[#This Row],[Product]],products!$A$1:$C$9,2,FALSE)</f>
        <v>112</v>
      </c>
      <c r="L262">
        <f>Shoe_Sales[[#This Row],[Cost Price]]*Shoe_Sales[[#This Row],[Quantity]]</f>
        <v>384</v>
      </c>
      <c r="M262">
        <f>Shoe_Sales[[#This Row],[Selling Price]]*Shoe_Sales[[#This Row],[Quantity]]</f>
        <v>672</v>
      </c>
      <c r="N262">
        <f>Shoe_Sales[[#This Row],[Revenue]]-Shoe_Sales[[#This Row],[Cost]]</f>
        <v>288</v>
      </c>
      <c r="O262" s="3">
        <f>Shoe_Sales[[#This Row],[Profit]]/Shoe_Sales[[#This Row],[Revenue]]</f>
        <v>0.42857142857142855</v>
      </c>
    </row>
    <row r="263" spans="1:15" x14ac:dyDescent="0.35">
      <c r="A263" s="2" t="s">
        <v>312</v>
      </c>
      <c r="B263" s="2">
        <v>46146</v>
      </c>
      <c r="C263" t="s">
        <v>38</v>
      </c>
      <c r="D263" t="s">
        <v>19</v>
      </c>
      <c r="E263" t="s">
        <v>20</v>
      </c>
      <c r="F263" t="s">
        <v>40</v>
      </c>
      <c r="G263" t="s">
        <v>26</v>
      </c>
      <c r="H263">
        <v>14</v>
      </c>
      <c r="I263" t="s">
        <v>45</v>
      </c>
      <c r="J263">
        <f>VLOOKUP(Shoe_Sales[[#This Row],[Product]],products!$A$1:$C$9,3,0)</f>
        <v>64</v>
      </c>
      <c r="K263">
        <f>VLOOKUP(Shoe_Sales[[#This Row],[Product]],products!$A$1:$C$9,2,FALSE)</f>
        <v>112</v>
      </c>
      <c r="L263">
        <f>Shoe_Sales[[#This Row],[Cost Price]]*Shoe_Sales[[#This Row],[Quantity]]</f>
        <v>896</v>
      </c>
      <c r="M263">
        <f>Shoe_Sales[[#This Row],[Selling Price]]*Shoe_Sales[[#This Row],[Quantity]]</f>
        <v>1568</v>
      </c>
      <c r="N263">
        <f>Shoe_Sales[[#This Row],[Revenue]]-Shoe_Sales[[#This Row],[Cost]]</f>
        <v>672</v>
      </c>
      <c r="O263" s="3">
        <f>Shoe_Sales[[#This Row],[Profit]]/Shoe_Sales[[#This Row],[Revenue]]</f>
        <v>0.42857142857142855</v>
      </c>
    </row>
    <row r="264" spans="1:15" x14ac:dyDescent="0.35">
      <c r="A264" s="2" t="s">
        <v>313</v>
      </c>
      <c r="B264" s="2">
        <v>46147</v>
      </c>
      <c r="C264" t="s">
        <v>42</v>
      </c>
      <c r="D264" t="s">
        <v>19</v>
      </c>
      <c r="E264" t="s">
        <v>14</v>
      </c>
      <c r="F264" t="s">
        <v>8</v>
      </c>
      <c r="G264" t="s">
        <v>21</v>
      </c>
      <c r="H264">
        <v>8</v>
      </c>
      <c r="I264" t="s">
        <v>45</v>
      </c>
      <c r="J264">
        <f>VLOOKUP(Shoe_Sales[[#This Row],[Product]],products!$A$1:$C$9,3,0)</f>
        <v>47</v>
      </c>
      <c r="K264">
        <f>VLOOKUP(Shoe_Sales[[#This Row],[Product]],products!$A$1:$C$9,2,FALSE)</f>
        <v>89</v>
      </c>
      <c r="L264">
        <f>Shoe_Sales[[#This Row],[Cost Price]]*Shoe_Sales[[#This Row],[Quantity]]</f>
        <v>376</v>
      </c>
      <c r="M264">
        <f>Shoe_Sales[[#This Row],[Selling Price]]*Shoe_Sales[[#This Row],[Quantity]]</f>
        <v>712</v>
      </c>
      <c r="N264">
        <f>Shoe_Sales[[#This Row],[Revenue]]-Shoe_Sales[[#This Row],[Cost]]</f>
        <v>336</v>
      </c>
      <c r="O264" s="3">
        <f>Shoe_Sales[[#This Row],[Profit]]/Shoe_Sales[[#This Row],[Revenue]]</f>
        <v>0.47191011235955055</v>
      </c>
    </row>
    <row r="265" spans="1:15" x14ac:dyDescent="0.35">
      <c r="A265" s="2" t="s">
        <v>314</v>
      </c>
      <c r="B265" s="2">
        <v>46147</v>
      </c>
      <c r="C265" t="s">
        <v>41</v>
      </c>
      <c r="D265" t="s">
        <v>19</v>
      </c>
      <c r="E265" t="s">
        <v>14</v>
      </c>
      <c r="F265" t="s">
        <v>40</v>
      </c>
      <c r="G265" t="s">
        <v>37</v>
      </c>
      <c r="H265">
        <v>6</v>
      </c>
      <c r="I265" t="s">
        <v>47</v>
      </c>
      <c r="J265">
        <f>VLOOKUP(Shoe_Sales[[#This Row],[Product]],products!$A$1:$C$9,3,0)</f>
        <v>39</v>
      </c>
      <c r="K265">
        <f>VLOOKUP(Shoe_Sales[[#This Row],[Product]],products!$A$1:$C$9,2,FALSE)</f>
        <v>76</v>
      </c>
      <c r="L265">
        <f>Shoe_Sales[[#This Row],[Cost Price]]*Shoe_Sales[[#This Row],[Quantity]]</f>
        <v>234</v>
      </c>
      <c r="M265">
        <f>Shoe_Sales[[#This Row],[Selling Price]]*Shoe_Sales[[#This Row],[Quantity]]</f>
        <v>456</v>
      </c>
      <c r="N265">
        <f>Shoe_Sales[[#This Row],[Revenue]]-Shoe_Sales[[#This Row],[Cost]]</f>
        <v>222</v>
      </c>
      <c r="O265" s="3">
        <f>Shoe_Sales[[#This Row],[Profit]]/Shoe_Sales[[#This Row],[Revenue]]</f>
        <v>0.48684210526315791</v>
      </c>
    </row>
    <row r="266" spans="1:15" x14ac:dyDescent="0.35">
      <c r="A266" s="2" t="s">
        <v>315</v>
      </c>
      <c r="B266" s="2">
        <v>46147</v>
      </c>
      <c r="C266" t="s">
        <v>27</v>
      </c>
      <c r="D266" t="s">
        <v>10</v>
      </c>
      <c r="E266" t="s">
        <v>14</v>
      </c>
      <c r="F266" t="s">
        <v>17</v>
      </c>
      <c r="G266" t="s">
        <v>18</v>
      </c>
      <c r="H266">
        <v>1</v>
      </c>
      <c r="I266" t="s">
        <v>48</v>
      </c>
      <c r="J266">
        <f>VLOOKUP(Shoe_Sales[[#This Row],[Product]],products!$A$1:$C$9,3,0)</f>
        <v>14</v>
      </c>
      <c r="K266">
        <f>VLOOKUP(Shoe_Sales[[#This Row],[Product]],products!$A$1:$C$9,2,FALSE)</f>
        <v>32</v>
      </c>
      <c r="L266">
        <f>Shoe_Sales[[#This Row],[Cost Price]]*Shoe_Sales[[#This Row],[Quantity]]</f>
        <v>14</v>
      </c>
      <c r="M266">
        <f>Shoe_Sales[[#This Row],[Selling Price]]*Shoe_Sales[[#This Row],[Quantity]]</f>
        <v>32</v>
      </c>
      <c r="N266">
        <f>Shoe_Sales[[#This Row],[Revenue]]-Shoe_Sales[[#This Row],[Cost]]</f>
        <v>18</v>
      </c>
      <c r="O266" s="3">
        <f>Shoe_Sales[[#This Row],[Profit]]/Shoe_Sales[[#This Row],[Revenue]]</f>
        <v>0.5625</v>
      </c>
    </row>
    <row r="267" spans="1:15" x14ac:dyDescent="0.35">
      <c r="A267" s="2" t="s">
        <v>316</v>
      </c>
      <c r="B267" s="2">
        <v>46147</v>
      </c>
      <c r="C267" t="s">
        <v>27</v>
      </c>
      <c r="D267" t="s">
        <v>19</v>
      </c>
      <c r="E267" t="s">
        <v>7</v>
      </c>
      <c r="F267" t="s">
        <v>17</v>
      </c>
      <c r="G267" t="s">
        <v>30</v>
      </c>
      <c r="H267">
        <v>13</v>
      </c>
      <c r="I267" t="s">
        <v>45</v>
      </c>
      <c r="J267">
        <f>VLOOKUP(Shoe_Sales[[#This Row],[Product]],products!$A$1:$C$9,3,0)</f>
        <v>14</v>
      </c>
      <c r="K267">
        <f>VLOOKUP(Shoe_Sales[[#This Row],[Product]],products!$A$1:$C$9,2,FALSE)</f>
        <v>32</v>
      </c>
      <c r="L267">
        <f>Shoe_Sales[[#This Row],[Cost Price]]*Shoe_Sales[[#This Row],[Quantity]]</f>
        <v>182</v>
      </c>
      <c r="M267">
        <f>Shoe_Sales[[#This Row],[Selling Price]]*Shoe_Sales[[#This Row],[Quantity]]</f>
        <v>416</v>
      </c>
      <c r="N267">
        <f>Shoe_Sales[[#This Row],[Revenue]]-Shoe_Sales[[#This Row],[Cost]]</f>
        <v>234</v>
      </c>
      <c r="O267" s="3">
        <f>Shoe_Sales[[#This Row],[Profit]]/Shoe_Sales[[#This Row],[Revenue]]</f>
        <v>0.5625</v>
      </c>
    </row>
    <row r="268" spans="1:15" x14ac:dyDescent="0.35">
      <c r="A268" s="2" t="s">
        <v>317</v>
      </c>
      <c r="B268" s="2">
        <v>46148</v>
      </c>
      <c r="C268" t="s">
        <v>39</v>
      </c>
      <c r="D268" t="s">
        <v>31</v>
      </c>
      <c r="E268" t="s">
        <v>14</v>
      </c>
      <c r="F268" t="s">
        <v>17</v>
      </c>
      <c r="G268" t="s">
        <v>12</v>
      </c>
      <c r="H268">
        <v>8</v>
      </c>
      <c r="I268" t="s">
        <v>47</v>
      </c>
      <c r="J268">
        <f>VLOOKUP(Shoe_Sales[[#This Row],[Product]],products!$A$1:$C$9,3,0)</f>
        <v>72</v>
      </c>
      <c r="K268">
        <f>VLOOKUP(Shoe_Sales[[#This Row],[Product]],products!$A$1:$C$9,2,FALSE)</f>
        <v>128</v>
      </c>
      <c r="L268">
        <f>Shoe_Sales[[#This Row],[Cost Price]]*Shoe_Sales[[#This Row],[Quantity]]</f>
        <v>576</v>
      </c>
      <c r="M268">
        <f>Shoe_Sales[[#This Row],[Selling Price]]*Shoe_Sales[[#This Row],[Quantity]]</f>
        <v>1024</v>
      </c>
      <c r="N268">
        <f>Shoe_Sales[[#This Row],[Revenue]]-Shoe_Sales[[#This Row],[Cost]]</f>
        <v>448</v>
      </c>
      <c r="O268" s="3">
        <f>Shoe_Sales[[#This Row],[Profit]]/Shoe_Sales[[#This Row],[Revenue]]</f>
        <v>0.4375</v>
      </c>
    </row>
    <row r="269" spans="1:15" x14ac:dyDescent="0.35">
      <c r="A269" s="2" t="s">
        <v>318</v>
      </c>
      <c r="B269" s="2">
        <v>46148</v>
      </c>
      <c r="C269" t="s">
        <v>22</v>
      </c>
      <c r="D269" t="s">
        <v>25</v>
      </c>
      <c r="E269" t="s">
        <v>20</v>
      </c>
      <c r="F269" t="s">
        <v>8</v>
      </c>
      <c r="G269" t="s">
        <v>12</v>
      </c>
      <c r="H269">
        <v>13</v>
      </c>
      <c r="I269" t="s">
        <v>47</v>
      </c>
      <c r="J269">
        <f>VLOOKUP(Shoe_Sales[[#This Row],[Product]],products!$A$1:$C$9,3,0)</f>
        <v>58</v>
      </c>
      <c r="K269">
        <f>VLOOKUP(Shoe_Sales[[#This Row],[Product]],products!$A$1:$C$9,2,FALSE)</f>
        <v>105</v>
      </c>
      <c r="L269">
        <f>Shoe_Sales[[#This Row],[Cost Price]]*Shoe_Sales[[#This Row],[Quantity]]</f>
        <v>754</v>
      </c>
      <c r="M269">
        <f>Shoe_Sales[[#This Row],[Selling Price]]*Shoe_Sales[[#This Row],[Quantity]]</f>
        <v>1365</v>
      </c>
      <c r="N269">
        <f>Shoe_Sales[[#This Row],[Revenue]]-Shoe_Sales[[#This Row],[Cost]]</f>
        <v>611</v>
      </c>
      <c r="O269" s="3">
        <f>Shoe_Sales[[#This Row],[Profit]]/Shoe_Sales[[#This Row],[Revenue]]</f>
        <v>0.44761904761904764</v>
      </c>
    </row>
    <row r="270" spans="1:15" x14ac:dyDescent="0.35">
      <c r="A270" s="2" t="s">
        <v>319</v>
      </c>
      <c r="B270" s="2">
        <v>46148</v>
      </c>
      <c r="C270" t="s">
        <v>41</v>
      </c>
      <c r="D270" t="s">
        <v>25</v>
      </c>
      <c r="E270" t="s">
        <v>16</v>
      </c>
      <c r="F270" t="s">
        <v>8</v>
      </c>
      <c r="G270" t="s">
        <v>30</v>
      </c>
      <c r="H270">
        <v>5</v>
      </c>
      <c r="I270" t="s">
        <v>46</v>
      </c>
      <c r="J270">
        <f>VLOOKUP(Shoe_Sales[[#This Row],[Product]],products!$A$1:$C$9,3,0)</f>
        <v>39</v>
      </c>
      <c r="K270">
        <f>VLOOKUP(Shoe_Sales[[#This Row],[Product]],products!$A$1:$C$9,2,FALSE)</f>
        <v>76</v>
      </c>
      <c r="L270">
        <f>Shoe_Sales[[#This Row],[Cost Price]]*Shoe_Sales[[#This Row],[Quantity]]</f>
        <v>195</v>
      </c>
      <c r="M270">
        <f>Shoe_Sales[[#This Row],[Selling Price]]*Shoe_Sales[[#This Row],[Quantity]]</f>
        <v>380</v>
      </c>
      <c r="N270">
        <f>Shoe_Sales[[#This Row],[Revenue]]-Shoe_Sales[[#This Row],[Cost]]</f>
        <v>185</v>
      </c>
      <c r="O270" s="3">
        <f>Shoe_Sales[[#This Row],[Profit]]/Shoe_Sales[[#This Row],[Revenue]]</f>
        <v>0.48684210526315791</v>
      </c>
    </row>
    <row r="271" spans="1:15" x14ac:dyDescent="0.35">
      <c r="A271" s="2" t="s">
        <v>320</v>
      </c>
      <c r="B271" s="2">
        <v>46148</v>
      </c>
      <c r="C271" t="s">
        <v>22</v>
      </c>
      <c r="D271" t="s">
        <v>19</v>
      </c>
      <c r="E271" t="s">
        <v>20</v>
      </c>
      <c r="F271" t="s">
        <v>8</v>
      </c>
      <c r="G271" t="s">
        <v>18</v>
      </c>
      <c r="H271">
        <v>2</v>
      </c>
      <c r="I271" t="s">
        <v>46</v>
      </c>
      <c r="J271">
        <f>VLOOKUP(Shoe_Sales[[#This Row],[Product]],products!$A$1:$C$9,3,0)</f>
        <v>58</v>
      </c>
      <c r="K271">
        <f>VLOOKUP(Shoe_Sales[[#This Row],[Product]],products!$A$1:$C$9,2,FALSE)</f>
        <v>105</v>
      </c>
      <c r="L271">
        <f>Shoe_Sales[[#This Row],[Cost Price]]*Shoe_Sales[[#This Row],[Quantity]]</f>
        <v>116</v>
      </c>
      <c r="M271">
        <f>Shoe_Sales[[#This Row],[Selling Price]]*Shoe_Sales[[#This Row],[Quantity]]</f>
        <v>210</v>
      </c>
      <c r="N271">
        <f>Shoe_Sales[[#This Row],[Revenue]]-Shoe_Sales[[#This Row],[Cost]]</f>
        <v>94</v>
      </c>
      <c r="O271" s="3">
        <f>Shoe_Sales[[#This Row],[Profit]]/Shoe_Sales[[#This Row],[Revenue]]</f>
        <v>0.44761904761904764</v>
      </c>
    </row>
    <row r="272" spans="1:15" x14ac:dyDescent="0.35">
      <c r="A272" s="2" t="s">
        <v>321</v>
      </c>
      <c r="B272" s="2">
        <v>46149</v>
      </c>
      <c r="C272" t="s">
        <v>33</v>
      </c>
      <c r="D272" t="s">
        <v>10</v>
      </c>
      <c r="E272" t="s">
        <v>11</v>
      </c>
      <c r="F272" t="s">
        <v>17</v>
      </c>
      <c r="G272" t="s">
        <v>9</v>
      </c>
      <c r="H272">
        <v>2</v>
      </c>
      <c r="I272" t="s">
        <v>46</v>
      </c>
      <c r="J272">
        <f>VLOOKUP(Shoe_Sales[[#This Row],[Product]],products!$A$1:$C$9,3,0)</f>
        <v>28</v>
      </c>
      <c r="K272">
        <f>VLOOKUP(Shoe_Sales[[#This Row],[Product]],products!$A$1:$C$9,2,FALSE)</f>
        <v>54</v>
      </c>
      <c r="L272">
        <f>Shoe_Sales[[#This Row],[Cost Price]]*Shoe_Sales[[#This Row],[Quantity]]</f>
        <v>56</v>
      </c>
      <c r="M272">
        <f>Shoe_Sales[[#This Row],[Selling Price]]*Shoe_Sales[[#This Row],[Quantity]]</f>
        <v>108</v>
      </c>
      <c r="N272">
        <f>Shoe_Sales[[#This Row],[Revenue]]-Shoe_Sales[[#This Row],[Cost]]</f>
        <v>52</v>
      </c>
      <c r="O272" s="3">
        <f>Shoe_Sales[[#This Row],[Profit]]/Shoe_Sales[[#This Row],[Revenue]]</f>
        <v>0.48148148148148145</v>
      </c>
    </row>
    <row r="273" spans="1:15" x14ac:dyDescent="0.35">
      <c r="A273" s="2" t="s">
        <v>322</v>
      </c>
      <c r="B273" s="2">
        <v>46150</v>
      </c>
      <c r="C273" t="s">
        <v>38</v>
      </c>
      <c r="D273" t="s">
        <v>25</v>
      </c>
      <c r="E273" t="s">
        <v>14</v>
      </c>
      <c r="F273" t="s">
        <v>40</v>
      </c>
      <c r="G273" t="s">
        <v>34</v>
      </c>
      <c r="H273">
        <v>4</v>
      </c>
      <c r="I273" t="s">
        <v>46</v>
      </c>
      <c r="J273">
        <f>VLOOKUP(Shoe_Sales[[#This Row],[Product]],products!$A$1:$C$9,3,0)</f>
        <v>64</v>
      </c>
      <c r="K273">
        <f>VLOOKUP(Shoe_Sales[[#This Row],[Product]],products!$A$1:$C$9,2,FALSE)</f>
        <v>112</v>
      </c>
      <c r="L273">
        <f>Shoe_Sales[[#This Row],[Cost Price]]*Shoe_Sales[[#This Row],[Quantity]]</f>
        <v>256</v>
      </c>
      <c r="M273">
        <f>Shoe_Sales[[#This Row],[Selling Price]]*Shoe_Sales[[#This Row],[Quantity]]</f>
        <v>448</v>
      </c>
      <c r="N273">
        <f>Shoe_Sales[[#This Row],[Revenue]]-Shoe_Sales[[#This Row],[Cost]]</f>
        <v>192</v>
      </c>
      <c r="O273" s="3">
        <f>Shoe_Sales[[#This Row],[Profit]]/Shoe_Sales[[#This Row],[Revenue]]</f>
        <v>0.42857142857142855</v>
      </c>
    </row>
    <row r="274" spans="1:15" x14ac:dyDescent="0.35">
      <c r="A274" s="2" t="s">
        <v>323</v>
      </c>
      <c r="B274" s="2">
        <v>46151</v>
      </c>
      <c r="C274" t="s">
        <v>27</v>
      </c>
      <c r="D274" t="s">
        <v>19</v>
      </c>
      <c r="E274" t="s">
        <v>14</v>
      </c>
      <c r="F274" t="s">
        <v>17</v>
      </c>
      <c r="G274" t="s">
        <v>12</v>
      </c>
      <c r="H274">
        <v>6</v>
      </c>
      <c r="I274" t="s">
        <v>46</v>
      </c>
      <c r="J274">
        <f>VLOOKUP(Shoe_Sales[[#This Row],[Product]],products!$A$1:$C$9,3,0)</f>
        <v>14</v>
      </c>
      <c r="K274">
        <f>VLOOKUP(Shoe_Sales[[#This Row],[Product]],products!$A$1:$C$9,2,FALSE)</f>
        <v>32</v>
      </c>
      <c r="L274">
        <f>Shoe_Sales[[#This Row],[Cost Price]]*Shoe_Sales[[#This Row],[Quantity]]</f>
        <v>84</v>
      </c>
      <c r="M274">
        <f>Shoe_Sales[[#This Row],[Selling Price]]*Shoe_Sales[[#This Row],[Quantity]]</f>
        <v>192</v>
      </c>
      <c r="N274">
        <f>Shoe_Sales[[#This Row],[Revenue]]-Shoe_Sales[[#This Row],[Cost]]</f>
        <v>108</v>
      </c>
      <c r="O274" s="3">
        <f>Shoe_Sales[[#This Row],[Profit]]/Shoe_Sales[[#This Row],[Revenue]]</f>
        <v>0.5625</v>
      </c>
    </row>
    <row r="275" spans="1:15" x14ac:dyDescent="0.35">
      <c r="A275" s="2" t="s">
        <v>324</v>
      </c>
      <c r="B275" s="2">
        <v>46151</v>
      </c>
      <c r="C275" t="s">
        <v>42</v>
      </c>
      <c r="D275" t="s">
        <v>31</v>
      </c>
      <c r="E275" t="s">
        <v>16</v>
      </c>
      <c r="F275" t="s">
        <v>8</v>
      </c>
      <c r="G275" t="s">
        <v>21</v>
      </c>
      <c r="H275">
        <v>15</v>
      </c>
      <c r="I275" t="s">
        <v>46</v>
      </c>
      <c r="J275">
        <f>VLOOKUP(Shoe_Sales[[#This Row],[Product]],products!$A$1:$C$9,3,0)</f>
        <v>47</v>
      </c>
      <c r="K275">
        <f>VLOOKUP(Shoe_Sales[[#This Row],[Product]],products!$A$1:$C$9,2,FALSE)</f>
        <v>89</v>
      </c>
      <c r="L275">
        <f>Shoe_Sales[[#This Row],[Cost Price]]*Shoe_Sales[[#This Row],[Quantity]]</f>
        <v>705</v>
      </c>
      <c r="M275">
        <f>Shoe_Sales[[#This Row],[Selling Price]]*Shoe_Sales[[#This Row],[Quantity]]</f>
        <v>1335</v>
      </c>
      <c r="N275">
        <f>Shoe_Sales[[#This Row],[Revenue]]-Shoe_Sales[[#This Row],[Cost]]</f>
        <v>630</v>
      </c>
      <c r="O275" s="3">
        <f>Shoe_Sales[[#This Row],[Profit]]/Shoe_Sales[[#This Row],[Revenue]]</f>
        <v>0.47191011235955055</v>
      </c>
    </row>
    <row r="276" spans="1:15" x14ac:dyDescent="0.35">
      <c r="A276" s="2" t="s">
        <v>325</v>
      </c>
      <c r="B276" s="2">
        <v>46152</v>
      </c>
      <c r="C276" t="s">
        <v>22</v>
      </c>
      <c r="D276" t="s">
        <v>10</v>
      </c>
      <c r="E276" t="s">
        <v>11</v>
      </c>
      <c r="F276" t="s">
        <v>17</v>
      </c>
      <c r="G276" t="s">
        <v>12</v>
      </c>
      <c r="H276">
        <v>13</v>
      </c>
      <c r="I276" t="s">
        <v>47</v>
      </c>
      <c r="J276">
        <f>VLOOKUP(Shoe_Sales[[#This Row],[Product]],products!$A$1:$C$9,3,0)</f>
        <v>58</v>
      </c>
      <c r="K276">
        <f>VLOOKUP(Shoe_Sales[[#This Row],[Product]],products!$A$1:$C$9,2,FALSE)</f>
        <v>105</v>
      </c>
      <c r="L276">
        <f>Shoe_Sales[[#This Row],[Cost Price]]*Shoe_Sales[[#This Row],[Quantity]]</f>
        <v>754</v>
      </c>
      <c r="M276">
        <f>Shoe_Sales[[#This Row],[Selling Price]]*Shoe_Sales[[#This Row],[Quantity]]</f>
        <v>1365</v>
      </c>
      <c r="N276">
        <f>Shoe_Sales[[#This Row],[Revenue]]-Shoe_Sales[[#This Row],[Cost]]</f>
        <v>611</v>
      </c>
      <c r="O276" s="3">
        <f>Shoe_Sales[[#This Row],[Profit]]/Shoe_Sales[[#This Row],[Revenue]]</f>
        <v>0.44761904761904764</v>
      </c>
    </row>
    <row r="277" spans="1:15" x14ac:dyDescent="0.35">
      <c r="A277" s="2" t="s">
        <v>326</v>
      </c>
      <c r="B277" s="2">
        <v>46152</v>
      </c>
      <c r="C277" t="s">
        <v>39</v>
      </c>
      <c r="D277" t="s">
        <v>25</v>
      </c>
      <c r="E277" t="s">
        <v>16</v>
      </c>
      <c r="F277" t="s">
        <v>40</v>
      </c>
      <c r="G277" t="s">
        <v>24</v>
      </c>
      <c r="H277">
        <v>1</v>
      </c>
      <c r="I277" t="s">
        <v>45</v>
      </c>
      <c r="J277">
        <f>VLOOKUP(Shoe_Sales[[#This Row],[Product]],products!$A$1:$C$9,3,0)</f>
        <v>72</v>
      </c>
      <c r="K277">
        <f>VLOOKUP(Shoe_Sales[[#This Row],[Product]],products!$A$1:$C$9,2,FALSE)</f>
        <v>128</v>
      </c>
      <c r="L277">
        <f>Shoe_Sales[[#This Row],[Cost Price]]*Shoe_Sales[[#This Row],[Quantity]]</f>
        <v>72</v>
      </c>
      <c r="M277">
        <f>Shoe_Sales[[#This Row],[Selling Price]]*Shoe_Sales[[#This Row],[Quantity]]</f>
        <v>128</v>
      </c>
      <c r="N277">
        <f>Shoe_Sales[[#This Row],[Revenue]]-Shoe_Sales[[#This Row],[Cost]]</f>
        <v>56</v>
      </c>
      <c r="O277" s="3">
        <f>Shoe_Sales[[#This Row],[Profit]]/Shoe_Sales[[#This Row],[Revenue]]</f>
        <v>0.4375</v>
      </c>
    </row>
    <row r="278" spans="1:15" x14ac:dyDescent="0.35">
      <c r="A278" s="2" t="s">
        <v>327</v>
      </c>
      <c r="B278" s="2">
        <v>46153</v>
      </c>
      <c r="C278" t="s">
        <v>13</v>
      </c>
      <c r="D278" t="s">
        <v>31</v>
      </c>
      <c r="E278" t="s">
        <v>11</v>
      </c>
      <c r="F278" t="s">
        <v>17</v>
      </c>
      <c r="G278" t="s">
        <v>21</v>
      </c>
      <c r="H278">
        <v>4</v>
      </c>
      <c r="I278" t="s">
        <v>46</v>
      </c>
      <c r="J278">
        <f>VLOOKUP(Shoe_Sales[[#This Row],[Product]],products!$A$1:$C$9,3,0)</f>
        <v>67</v>
      </c>
      <c r="K278">
        <f>VLOOKUP(Shoe_Sales[[#This Row],[Product]],products!$A$1:$C$9,2,FALSE)</f>
        <v>119</v>
      </c>
      <c r="L278">
        <f>Shoe_Sales[[#This Row],[Cost Price]]*Shoe_Sales[[#This Row],[Quantity]]</f>
        <v>268</v>
      </c>
      <c r="M278">
        <f>Shoe_Sales[[#This Row],[Selling Price]]*Shoe_Sales[[#This Row],[Quantity]]</f>
        <v>476</v>
      </c>
      <c r="N278">
        <f>Shoe_Sales[[#This Row],[Revenue]]-Shoe_Sales[[#This Row],[Cost]]</f>
        <v>208</v>
      </c>
      <c r="O278" s="3">
        <f>Shoe_Sales[[#This Row],[Profit]]/Shoe_Sales[[#This Row],[Revenue]]</f>
        <v>0.43697478991596639</v>
      </c>
    </row>
    <row r="279" spans="1:15" x14ac:dyDescent="0.35">
      <c r="A279" s="2" t="s">
        <v>328</v>
      </c>
      <c r="B279" s="2">
        <v>46154</v>
      </c>
      <c r="C279" t="s">
        <v>42</v>
      </c>
      <c r="D279" t="s">
        <v>25</v>
      </c>
      <c r="E279" t="s">
        <v>20</v>
      </c>
      <c r="F279" t="s">
        <v>8</v>
      </c>
      <c r="G279" t="s">
        <v>23</v>
      </c>
      <c r="H279">
        <v>12</v>
      </c>
      <c r="I279" t="s">
        <v>47</v>
      </c>
      <c r="J279">
        <f>VLOOKUP(Shoe_Sales[[#This Row],[Product]],products!$A$1:$C$9,3,0)</f>
        <v>47</v>
      </c>
      <c r="K279">
        <f>VLOOKUP(Shoe_Sales[[#This Row],[Product]],products!$A$1:$C$9,2,FALSE)</f>
        <v>89</v>
      </c>
      <c r="L279">
        <f>Shoe_Sales[[#This Row],[Cost Price]]*Shoe_Sales[[#This Row],[Quantity]]</f>
        <v>564</v>
      </c>
      <c r="M279">
        <f>Shoe_Sales[[#This Row],[Selling Price]]*Shoe_Sales[[#This Row],[Quantity]]</f>
        <v>1068</v>
      </c>
      <c r="N279">
        <f>Shoe_Sales[[#This Row],[Revenue]]-Shoe_Sales[[#This Row],[Cost]]</f>
        <v>504</v>
      </c>
      <c r="O279" s="3">
        <f>Shoe_Sales[[#This Row],[Profit]]/Shoe_Sales[[#This Row],[Revenue]]</f>
        <v>0.47191011235955055</v>
      </c>
    </row>
    <row r="280" spans="1:15" x14ac:dyDescent="0.35">
      <c r="A280" s="2" t="s">
        <v>329</v>
      </c>
      <c r="B280" s="2">
        <v>46154</v>
      </c>
      <c r="C280" t="s">
        <v>38</v>
      </c>
      <c r="D280" t="s">
        <v>10</v>
      </c>
      <c r="E280" t="s">
        <v>7</v>
      </c>
      <c r="F280" t="s">
        <v>29</v>
      </c>
      <c r="G280" t="s">
        <v>37</v>
      </c>
      <c r="H280">
        <v>10</v>
      </c>
      <c r="I280" t="s">
        <v>46</v>
      </c>
      <c r="J280">
        <f>VLOOKUP(Shoe_Sales[[#This Row],[Product]],products!$A$1:$C$9,3,0)</f>
        <v>64</v>
      </c>
      <c r="K280">
        <f>VLOOKUP(Shoe_Sales[[#This Row],[Product]],products!$A$1:$C$9,2,FALSE)</f>
        <v>112</v>
      </c>
      <c r="L280">
        <f>Shoe_Sales[[#This Row],[Cost Price]]*Shoe_Sales[[#This Row],[Quantity]]</f>
        <v>640</v>
      </c>
      <c r="M280">
        <f>Shoe_Sales[[#This Row],[Selling Price]]*Shoe_Sales[[#This Row],[Quantity]]</f>
        <v>1120</v>
      </c>
      <c r="N280">
        <f>Shoe_Sales[[#This Row],[Revenue]]-Shoe_Sales[[#This Row],[Cost]]</f>
        <v>480</v>
      </c>
      <c r="O280" s="3">
        <f>Shoe_Sales[[#This Row],[Profit]]/Shoe_Sales[[#This Row],[Revenue]]</f>
        <v>0.42857142857142855</v>
      </c>
    </row>
    <row r="281" spans="1:15" x14ac:dyDescent="0.35">
      <c r="A281" s="2" t="s">
        <v>330</v>
      </c>
      <c r="B281" s="2">
        <v>46154</v>
      </c>
      <c r="C281" t="s">
        <v>41</v>
      </c>
      <c r="D281" t="s">
        <v>31</v>
      </c>
      <c r="E281" t="s">
        <v>14</v>
      </c>
      <c r="F281" t="s">
        <v>8</v>
      </c>
      <c r="G281" t="s">
        <v>9</v>
      </c>
      <c r="H281">
        <v>10</v>
      </c>
      <c r="I281" t="s">
        <v>46</v>
      </c>
      <c r="J281">
        <f>VLOOKUP(Shoe_Sales[[#This Row],[Product]],products!$A$1:$C$9,3,0)</f>
        <v>39</v>
      </c>
      <c r="K281">
        <f>VLOOKUP(Shoe_Sales[[#This Row],[Product]],products!$A$1:$C$9,2,FALSE)</f>
        <v>76</v>
      </c>
      <c r="L281">
        <f>Shoe_Sales[[#This Row],[Cost Price]]*Shoe_Sales[[#This Row],[Quantity]]</f>
        <v>390</v>
      </c>
      <c r="M281">
        <f>Shoe_Sales[[#This Row],[Selling Price]]*Shoe_Sales[[#This Row],[Quantity]]</f>
        <v>760</v>
      </c>
      <c r="N281">
        <f>Shoe_Sales[[#This Row],[Revenue]]-Shoe_Sales[[#This Row],[Cost]]</f>
        <v>370</v>
      </c>
      <c r="O281" s="3">
        <f>Shoe_Sales[[#This Row],[Profit]]/Shoe_Sales[[#This Row],[Revenue]]</f>
        <v>0.48684210526315791</v>
      </c>
    </row>
    <row r="282" spans="1:15" x14ac:dyDescent="0.35">
      <c r="A282" s="2" t="s">
        <v>331</v>
      </c>
      <c r="B282" s="2">
        <v>46155</v>
      </c>
      <c r="C282" t="s">
        <v>38</v>
      </c>
      <c r="D282" t="s">
        <v>25</v>
      </c>
      <c r="E282" t="s">
        <v>16</v>
      </c>
      <c r="F282" t="s">
        <v>8</v>
      </c>
      <c r="G282" t="s">
        <v>24</v>
      </c>
      <c r="H282">
        <v>13</v>
      </c>
      <c r="I282" t="s">
        <v>48</v>
      </c>
      <c r="J282">
        <f>VLOOKUP(Shoe_Sales[[#This Row],[Product]],products!$A$1:$C$9,3,0)</f>
        <v>64</v>
      </c>
      <c r="K282">
        <f>VLOOKUP(Shoe_Sales[[#This Row],[Product]],products!$A$1:$C$9,2,FALSE)</f>
        <v>112</v>
      </c>
      <c r="L282">
        <f>Shoe_Sales[[#This Row],[Cost Price]]*Shoe_Sales[[#This Row],[Quantity]]</f>
        <v>832</v>
      </c>
      <c r="M282">
        <f>Shoe_Sales[[#This Row],[Selling Price]]*Shoe_Sales[[#This Row],[Quantity]]</f>
        <v>1456</v>
      </c>
      <c r="N282">
        <f>Shoe_Sales[[#This Row],[Revenue]]-Shoe_Sales[[#This Row],[Cost]]</f>
        <v>624</v>
      </c>
      <c r="O282" s="3">
        <f>Shoe_Sales[[#This Row],[Profit]]/Shoe_Sales[[#This Row],[Revenue]]</f>
        <v>0.42857142857142855</v>
      </c>
    </row>
    <row r="283" spans="1:15" x14ac:dyDescent="0.35">
      <c r="A283" s="2" t="s">
        <v>332</v>
      </c>
      <c r="B283" s="2">
        <v>46156</v>
      </c>
      <c r="C283" t="s">
        <v>38</v>
      </c>
      <c r="D283" t="s">
        <v>25</v>
      </c>
      <c r="E283" t="s">
        <v>20</v>
      </c>
      <c r="F283" t="s">
        <v>17</v>
      </c>
      <c r="G283" t="s">
        <v>23</v>
      </c>
      <c r="H283">
        <v>2</v>
      </c>
      <c r="I283" t="s">
        <v>45</v>
      </c>
      <c r="J283">
        <f>VLOOKUP(Shoe_Sales[[#This Row],[Product]],products!$A$1:$C$9,3,0)</f>
        <v>64</v>
      </c>
      <c r="K283">
        <f>VLOOKUP(Shoe_Sales[[#This Row],[Product]],products!$A$1:$C$9,2,FALSE)</f>
        <v>112</v>
      </c>
      <c r="L283">
        <f>Shoe_Sales[[#This Row],[Cost Price]]*Shoe_Sales[[#This Row],[Quantity]]</f>
        <v>128</v>
      </c>
      <c r="M283">
        <f>Shoe_Sales[[#This Row],[Selling Price]]*Shoe_Sales[[#This Row],[Quantity]]</f>
        <v>224</v>
      </c>
      <c r="N283">
        <f>Shoe_Sales[[#This Row],[Revenue]]-Shoe_Sales[[#This Row],[Cost]]</f>
        <v>96</v>
      </c>
      <c r="O283" s="3">
        <f>Shoe_Sales[[#This Row],[Profit]]/Shoe_Sales[[#This Row],[Revenue]]</f>
        <v>0.42857142857142855</v>
      </c>
    </row>
    <row r="284" spans="1:15" x14ac:dyDescent="0.35">
      <c r="A284" s="2" t="s">
        <v>333</v>
      </c>
      <c r="B284" s="2">
        <v>46156</v>
      </c>
      <c r="C284" t="s">
        <v>39</v>
      </c>
      <c r="D284" t="s">
        <v>10</v>
      </c>
      <c r="E284" t="s">
        <v>14</v>
      </c>
      <c r="F284" t="s">
        <v>40</v>
      </c>
      <c r="G284" t="s">
        <v>9</v>
      </c>
      <c r="H284">
        <v>8</v>
      </c>
      <c r="I284" t="s">
        <v>46</v>
      </c>
      <c r="J284">
        <f>VLOOKUP(Shoe_Sales[[#This Row],[Product]],products!$A$1:$C$9,3,0)</f>
        <v>72</v>
      </c>
      <c r="K284">
        <f>VLOOKUP(Shoe_Sales[[#This Row],[Product]],products!$A$1:$C$9,2,FALSE)</f>
        <v>128</v>
      </c>
      <c r="L284">
        <f>Shoe_Sales[[#This Row],[Cost Price]]*Shoe_Sales[[#This Row],[Quantity]]</f>
        <v>576</v>
      </c>
      <c r="M284">
        <f>Shoe_Sales[[#This Row],[Selling Price]]*Shoe_Sales[[#This Row],[Quantity]]</f>
        <v>1024</v>
      </c>
      <c r="N284">
        <f>Shoe_Sales[[#This Row],[Revenue]]-Shoe_Sales[[#This Row],[Cost]]</f>
        <v>448</v>
      </c>
      <c r="O284" s="3">
        <f>Shoe_Sales[[#This Row],[Profit]]/Shoe_Sales[[#This Row],[Revenue]]</f>
        <v>0.4375</v>
      </c>
    </row>
    <row r="285" spans="1:15" x14ac:dyDescent="0.35">
      <c r="A285" s="2" t="s">
        <v>334</v>
      </c>
      <c r="B285" s="2">
        <v>46157</v>
      </c>
      <c r="C285" t="s">
        <v>22</v>
      </c>
      <c r="D285" t="s">
        <v>31</v>
      </c>
      <c r="E285" t="s">
        <v>14</v>
      </c>
      <c r="F285" t="s">
        <v>40</v>
      </c>
      <c r="G285" t="s">
        <v>37</v>
      </c>
      <c r="H285">
        <v>11</v>
      </c>
      <c r="I285" t="s">
        <v>47</v>
      </c>
      <c r="J285">
        <f>VLOOKUP(Shoe_Sales[[#This Row],[Product]],products!$A$1:$C$9,3,0)</f>
        <v>58</v>
      </c>
      <c r="K285">
        <f>VLOOKUP(Shoe_Sales[[#This Row],[Product]],products!$A$1:$C$9,2,FALSE)</f>
        <v>105</v>
      </c>
      <c r="L285">
        <f>Shoe_Sales[[#This Row],[Cost Price]]*Shoe_Sales[[#This Row],[Quantity]]</f>
        <v>638</v>
      </c>
      <c r="M285">
        <f>Shoe_Sales[[#This Row],[Selling Price]]*Shoe_Sales[[#This Row],[Quantity]]</f>
        <v>1155</v>
      </c>
      <c r="N285">
        <f>Shoe_Sales[[#This Row],[Revenue]]-Shoe_Sales[[#This Row],[Cost]]</f>
        <v>517</v>
      </c>
      <c r="O285" s="3">
        <f>Shoe_Sales[[#This Row],[Profit]]/Shoe_Sales[[#This Row],[Revenue]]</f>
        <v>0.44761904761904764</v>
      </c>
    </row>
    <row r="286" spans="1:15" x14ac:dyDescent="0.35">
      <c r="A286" s="2" t="s">
        <v>335</v>
      </c>
      <c r="B286" s="2">
        <v>46157</v>
      </c>
      <c r="C286" t="s">
        <v>39</v>
      </c>
      <c r="D286" t="s">
        <v>25</v>
      </c>
      <c r="E286" t="s">
        <v>14</v>
      </c>
      <c r="F286" t="s">
        <v>8</v>
      </c>
      <c r="G286" t="s">
        <v>21</v>
      </c>
      <c r="H286">
        <v>8</v>
      </c>
      <c r="I286" t="s">
        <v>45</v>
      </c>
      <c r="J286">
        <f>VLOOKUP(Shoe_Sales[[#This Row],[Product]],products!$A$1:$C$9,3,0)</f>
        <v>72</v>
      </c>
      <c r="K286">
        <f>VLOOKUP(Shoe_Sales[[#This Row],[Product]],products!$A$1:$C$9,2,FALSE)</f>
        <v>128</v>
      </c>
      <c r="L286">
        <f>Shoe_Sales[[#This Row],[Cost Price]]*Shoe_Sales[[#This Row],[Quantity]]</f>
        <v>576</v>
      </c>
      <c r="M286">
        <f>Shoe_Sales[[#This Row],[Selling Price]]*Shoe_Sales[[#This Row],[Quantity]]</f>
        <v>1024</v>
      </c>
      <c r="N286">
        <f>Shoe_Sales[[#This Row],[Revenue]]-Shoe_Sales[[#This Row],[Cost]]</f>
        <v>448</v>
      </c>
      <c r="O286" s="3">
        <f>Shoe_Sales[[#This Row],[Profit]]/Shoe_Sales[[#This Row],[Revenue]]</f>
        <v>0.4375</v>
      </c>
    </row>
    <row r="287" spans="1:15" x14ac:dyDescent="0.35">
      <c r="A287" s="2" t="s">
        <v>336</v>
      </c>
      <c r="B287" s="2">
        <v>46159</v>
      </c>
      <c r="C287" t="s">
        <v>41</v>
      </c>
      <c r="D287" t="s">
        <v>31</v>
      </c>
      <c r="E287" t="s">
        <v>16</v>
      </c>
      <c r="F287" t="s">
        <v>8</v>
      </c>
      <c r="G287" t="s">
        <v>37</v>
      </c>
      <c r="H287">
        <v>8</v>
      </c>
      <c r="I287" t="s">
        <v>48</v>
      </c>
      <c r="J287">
        <f>VLOOKUP(Shoe_Sales[[#This Row],[Product]],products!$A$1:$C$9,3,0)</f>
        <v>39</v>
      </c>
      <c r="K287">
        <f>VLOOKUP(Shoe_Sales[[#This Row],[Product]],products!$A$1:$C$9,2,FALSE)</f>
        <v>76</v>
      </c>
      <c r="L287">
        <f>Shoe_Sales[[#This Row],[Cost Price]]*Shoe_Sales[[#This Row],[Quantity]]</f>
        <v>312</v>
      </c>
      <c r="M287">
        <f>Shoe_Sales[[#This Row],[Selling Price]]*Shoe_Sales[[#This Row],[Quantity]]</f>
        <v>608</v>
      </c>
      <c r="N287">
        <f>Shoe_Sales[[#This Row],[Revenue]]-Shoe_Sales[[#This Row],[Cost]]</f>
        <v>296</v>
      </c>
      <c r="O287" s="3">
        <f>Shoe_Sales[[#This Row],[Profit]]/Shoe_Sales[[#This Row],[Revenue]]</f>
        <v>0.48684210526315791</v>
      </c>
    </row>
    <row r="288" spans="1:15" x14ac:dyDescent="0.35">
      <c r="A288" s="2" t="s">
        <v>337</v>
      </c>
      <c r="B288" s="2">
        <v>46159</v>
      </c>
      <c r="C288" t="s">
        <v>42</v>
      </c>
      <c r="D288" t="s">
        <v>19</v>
      </c>
      <c r="E288" t="s">
        <v>20</v>
      </c>
      <c r="F288" t="s">
        <v>8</v>
      </c>
      <c r="G288" t="s">
        <v>32</v>
      </c>
      <c r="H288">
        <v>3</v>
      </c>
      <c r="I288" t="s">
        <v>45</v>
      </c>
      <c r="J288">
        <f>VLOOKUP(Shoe_Sales[[#This Row],[Product]],products!$A$1:$C$9,3,0)</f>
        <v>47</v>
      </c>
      <c r="K288">
        <f>VLOOKUP(Shoe_Sales[[#This Row],[Product]],products!$A$1:$C$9,2,FALSE)</f>
        <v>89</v>
      </c>
      <c r="L288">
        <f>Shoe_Sales[[#This Row],[Cost Price]]*Shoe_Sales[[#This Row],[Quantity]]</f>
        <v>141</v>
      </c>
      <c r="M288">
        <f>Shoe_Sales[[#This Row],[Selling Price]]*Shoe_Sales[[#This Row],[Quantity]]</f>
        <v>267</v>
      </c>
      <c r="N288">
        <f>Shoe_Sales[[#This Row],[Revenue]]-Shoe_Sales[[#This Row],[Cost]]</f>
        <v>126</v>
      </c>
      <c r="O288" s="3">
        <f>Shoe_Sales[[#This Row],[Profit]]/Shoe_Sales[[#This Row],[Revenue]]</f>
        <v>0.47191011235955055</v>
      </c>
    </row>
    <row r="289" spans="1:15" x14ac:dyDescent="0.35">
      <c r="A289" s="2" t="s">
        <v>338</v>
      </c>
      <c r="B289" s="2">
        <v>46160</v>
      </c>
      <c r="C289" t="s">
        <v>13</v>
      </c>
      <c r="D289" t="s">
        <v>25</v>
      </c>
      <c r="E289" t="s">
        <v>20</v>
      </c>
      <c r="F289" t="s">
        <v>8</v>
      </c>
      <c r="G289" t="s">
        <v>32</v>
      </c>
      <c r="H289">
        <v>9</v>
      </c>
      <c r="I289" t="s">
        <v>47</v>
      </c>
      <c r="J289">
        <f>VLOOKUP(Shoe_Sales[[#This Row],[Product]],products!$A$1:$C$9,3,0)</f>
        <v>67</v>
      </c>
      <c r="K289">
        <f>VLOOKUP(Shoe_Sales[[#This Row],[Product]],products!$A$1:$C$9,2,FALSE)</f>
        <v>119</v>
      </c>
      <c r="L289">
        <f>Shoe_Sales[[#This Row],[Cost Price]]*Shoe_Sales[[#This Row],[Quantity]]</f>
        <v>603</v>
      </c>
      <c r="M289">
        <f>Shoe_Sales[[#This Row],[Selling Price]]*Shoe_Sales[[#This Row],[Quantity]]</f>
        <v>1071</v>
      </c>
      <c r="N289">
        <f>Shoe_Sales[[#This Row],[Revenue]]-Shoe_Sales[[#This Row],[Cost]]</f>
        <v>468</v>
      </c>
      <c r="O289" s="3">
        <f>Shoe_Sales[[#This Row],[Profit]]/Shoe_Sales[[#This Row],[Revenue]]</f>
        <v>0.43697478991596639</v>
      </c>
    </row>
    <row r="290" spans="1:15" x14ac:dyDescent="0.35">
      <c r="A290" s="2" t="s">
        <v>339</v>
      </c>
      <c r="B290" s="2">
        <v>46161</v>
      </c>
      <c r="C290" t="s">
        <v>42</v>
      </c>
      <c r="D290" t="s">
        <v>25</v>
      </c>
      <c r="E290" t="s">
        <v>14</v>
      </c>
      <c r="F290" t="s">
        <v>40</v>
      </c>
      <c r="G290" t="s">
        <v>12</v>
      </c>
      <c r="H290">
        <v>7</v>
      </c>
      <c r="I290" t="s">
        <v>45</v>
      </c>
      <c r="J290">
        <f>VLOOKUP(Shoe_Sales[[#This Row],[Product]],products!$A$1:$C$9,3,0)</f>
        <v>47</v>
      </c>
      <c r="K290">
        <f>VLOOKUP(Shoe_Sales[[#This Row],[Product]],products!$A$1:$C$9,2,FALSE)</f>
        <v>89</v>
      </c>
      <c r="L290">
        <f>Shoe_Sales[[#This Row],[Cost Price]]*Shoe_Sales[[#This Row],[Quantity]]</f>
        <v>329</v>
      </c>
      <c r="M290">
        <f>Shoe_Sales[[#This Row],[Selling Price]]*Shoe_Sales[[#This Row],[Quantity]]</f>
        <v>623</v>
      </c>
      <c r="N290">
        <f>Shoe_Sales[[#This Row],[Revenue]]-Shoe_Sales[[#This Row],[Cost]]</f>
        <v>294</v>
      </c>
      <c r="O290" s="3">
        <f>Shoe_Sales[[#This Row],[Profit]]/Shoe_Sales[[#This Row],[Revenue]]</f>
        <v>0.47191011235955055</v>
      </c>
    </row>
    <row r="291" spans="1:15" x14ac:dyDescent="0.35">
      <c r="A291" s="2" t="s">
        <v>340</v>
      </c>
      <c r="B291" s="2">
        <v>46161</v>
      </c>
      <c r="C291" t="s">
        <v>42</v>
      </c>
      <c r="D291" t="s">
        <v>31</v>
      </c>
      <c r="E291" t="s">
        <v>11</v>
      </c>
      <c r="F291" t="s">
        <v>8</v>
      </c>
      <c r="G291" t="s">
        <v>18</v>
      </c>
      <c r="H291">
        <v>14</v>
      </c>
      <c r="I291" t="s">
        <v>48</v>
      </c>
      <c r="J291">
        <f>VLOOKUP(Shoe_Sales[[#This Row],[Product]],products!$A$1:$C$9,3,0)</f>
        <v>47</v>
      </c>
      <c r="K291">
        <f>VLOOKUP(Shoe_Sales[[#This Row],[Product]],products!$A$1:$C$9,2,FALSE)</f>
        <v>89</v>
      </c>
      <c r="L291">
        <f>Shoe_Sales[[#This Row],[Cost Price]]*Shoe_Sales[[#This Row],[Quantity]]</f>
        <v>658</v>
      </c>
      <c r="M291">
        <f>Shoe_Sales[[#This Row],[Selling Price]]*Shoe_Sales[[#This Row],[Quantity]]</f>
        <v>1246</v>
      </c>
      <c r="N291">
        <f>Shoe_Sales[[#This Row],[Revenue]]-Shoe_Sales[[#This Row],[Cost]]</f>
        <v>588</v>
      </c>
      <c r="O291" s="3">
        <f>Shoe_Sales[[#This Row],[Profit]]/Shoe_Sales[[#This Row],[Revenue]]</f>
        <v>0.47191011235955055</v>
      </c>
    </row>
    <row r="292" spans="1:15" x14ac:dyDescent="0.35">
      <c r="A292" s="2" t="s">
        <v>341</v>
      </c>
      <c r="B292" s="2">
        <v>46161</v>
      </c>
      <c r="C292" t="s">
        <v>22</v>
      </c>
      <c r="D292" t="s">
        <v>10</v>
      </c>
      <c r="E292" t="s">
        <v>14</v>
      </c>
      <c r="F292" t="s">
        <v>8</v>
      </c>
      <c r="G292" t="s">
        <v>36</v>
      </c>
      <c r="H292">
        <v>4</v>
      </c>
      <c r="I292" t="s">
        <v>45</v>
      </c>
      <c r="J292">
        <f>VLOOKUP(Shoe_Sales[[#This Row],[Product]],products!$A$1:$C$9,3,0)</f>
        <v>58</v>
      </c>
      <c r="K292">
        <f>VLOOKUP(Shoe_Sales[[#This Row],[Product]],products!$A$1:$C$9,2,FALSE)</f>
        <v>105</v>
      </c>
      <c r="L292">
        <f>Shoe_Sales[[#This Row],[Cost Price]]*Shoe_Sales[[#This Row],[Quantity]]</f>
        <v>232</v>
      </c>
      <c r="M292">
        <f>Shoe_Sales[[#This Row],[Selling Price]]*Shoe_Sales[[#This Row],[Quantity]]</f>
        <v>420</v>
      </c>
      <c r="N292">
        <f>Shoe_Sales[[#This Row],[Revenue]]-Shoe_Sales[[#This Row],[Cost]]</f>
        <v>188</v>
      </c>
      <c r="O292" s="3">
        <f>Shoe_Sales[[#This Row],[Profit]]/Shoe_Sales[[#This Row],[Revenue]]</f>
        <v>0.44761904761904764</v>
      </c>
    </row>
    <row r="293" spans="1:15" x14ac:dyDescent="0.35">
      <c r="A293" s="2" t="s">
        <v>342</v>
      </c>
      <c r="B293" s="2">
        <v>46162</v>
      </c>
      <c r="C293" t="s">
        <v>13</v>
      </c>
      <c r="D293" t="s">
        <v>10</v>
      </c>
      <c r="E293" t="s">
        <v>16</v>
      </c>
      <c r="F293" t="s">
        <v>8</v>
      </c>
      <c r="G293" t="s">
        <v>15</v>
      </c>
      <c r="H293">
        <v>1</v>
      </c>
      <c r="I293" t="s">
        <v>46</v>
      </c>
      <c r="J293">
        <f>VLOOKUP(Shoe_Sales[[#This Row],[Product]],products!$A$1:$C$9,3,0)</f>
        <v>67</v>
      </c>
      <c r="K293">
        <f>VLOOKUP(Shoe_Sales[[#This Row],[Product]],products!$A$1:$C$9,2,FALSE)</f>
        <v>119</v>
      </c>
      <c r="L293">
        <f>Shoe_Sales[[#This Row],[Cost Price]]*Shoe_Sales[[#This Row],[Quantity]]</f>
        <v>67</v>
      </c>
      <c r="M293">
        <f>Shoe_Sales[[#This Row],[Selling Price]]*Shoe_Sales[[#This Row],[Quantity]]</f>
        <v>119</v>
      </c>
      <c r="N293">
        <f>Shoe_Sales[[#This Row],[Revenue]]-Shoe_Sales[[#This Row],[Cost]]</f>
        <v>52</v>
      </c>
      <c r="O293" s="3">
        <f>Shoe_Sales[[#This Row],[Profit]]/Shoe_Sales[[#This Row],[Revenue]]</f>
        <v>0.43697478991596639</v>
      </c>
    </row>
    <row r="294" spans="1:15" x14ac:dyDescent="0.35">
      <c r="A294" s="2" t="s">
        <v>343</v>
      </c>
      <c r="B294" s="2">
        <v>46162</v>
      </c>
      <c r="C294" t="s">
        <v>41</v>
      </c>
      <c r="D294" t="s">
        <v>25</v>
      </c>
      <c r="E294" t="s">
        <v>7</v>
      </c>
      <c r="F294" t="s">
        <v>8</v>
      </c>
      <c r="G294" t="s">
        <v>18</v>
      </c>
      <c r="H294">
        <v>12</v>
      </c>
      <c r="I294" t="s">
        <v>45</v>
      </c>
      <c r="J294">
        <f>VLOOKUP(Shoe_Sales[[#This Row],[Product]],products!$A$1:$C$9,3,0)</f>
        <v>39</v>
      </c>
      <c r="K294">
        <f>VLOOKUP(Shoe_Sales[[#This Row],[Product]],products!$A$1:$C$9,2,FALSE)</f>
        <v>76</v>
      </c>
      <c r="L294">
        <f>Shoe_Sales[[#This Row],[Cost Price]]*Shoe_Sales[[#This Row],[Quantity]]</f>
        <v>468</v>
      </c>
      <c r="M294">
        <f>Shoe_Sales[[#This Row],[Selling Price]]*Shoe_Sales[[#This Row],[Quantity]]</f>
        <v>912</v>
      </c>
      <c r="N294">
        <f>Shoe_Sales[[#This Row],[Revenue]]-Shoe_Sales[[#This Row],[Cost]]</f>
        <v>444</v>
      </c>
      <c r="O294" s="3">
        <f>Shoe_Sales[[#This Row],[Profit]]/Shoe_Sales[[#This Row],[Revenue]]</f>
        <v>0.48684210526315791</v>
      </c>
    </row>
    <row r="295" spans="1:15" x14ac:dyDescent="0.35">
      <c r="A295" s="2" t="s">
        <v>344</v>
      </c>
      <c r="B295" s="2">
        <v>46162</v>
      </c>
      <c r="C295" t="s">
        <v>39</v>
      </c>
      <c r="D295" t="s">
        <v>25</v>
      </c>
      <c r="E295" t="s">
        <v>20</v>
      </c>
      <c r="F295" t="s">
        <v>8</v>
      </c>
      <c r="G295" t="s">
        <v>26</v>
      </c>
      <c r="H295">
        <v>8</v>
      </c>
      <c r="I295" t="s">
        <v>47</v>
      </c>
      <c r="J295">
        <f>VLOOKUP(Shoe_Sales[[#This Row],[Product]],products!$A$1:$C$9,3,0)</f>
        <v>72</v>
      </c>
      <c r="K295">
        <f>VLOOKUP(Shoe_Sales[[#This Row],[Product]],products!$A$1:$C$9,2,FALSE)</f>
        <v>128</v>
      </c>
      <c r="L295">
        <f>Shoe_Sales[[#This Row],[Cost Price]]*Shoe_Sales[[#This Row],[Quantity]]</f>
        <v>576</v>
      </c>
      <c r="M295">
        <f>Shoe_Sales[[#This Row],[Selling Price]]*Shoe_Sales[[#This Row],[Quantity]]</f>
        <v>1024</v>
      </c>
      <c r="N295">
        <f>Shoe_Sales[[#This Row],[Revenue]]-Shoe_Sales[[#This Row],[Cost]]</f>
        <v>448</v>
      </c>
      <c r="O295" s="3">
        <f>Shoe_Sales[[#This Row],[Profit]]/Shoe_Sales[[#This Row],[Revenue]]</f>
        <v>0.4375</v>
      </c>
    </row>
    <row r="296" spans="1:15" x14ac:dyDescent="0.35">
      <c r="A296" s="2" t="s">
        <v>345</v>
      </c>
      <c r="B296" s="2">
        <v>46162</v>
      </c>
      <c r="C296" t="s">
        <v>27</v>
      </c>
      <c r="D296" t="s">
        <v>10</v>
      </c>
      <c r="E296" t="s">
        <v>16</v>
      </c>
      <c r="F296" t="s">
        <v>8</v>
      </c>
      <c r="G296" t="s">
        <v>18</v>
      </c>
      <c r="H296">
        <v>7</v>
      </c>
      <c r="I296" t="s">
        <v>48</v>
      </c>
      <c r="J296">
        <f>VLOOKUP(Shoe_Sales[[#This Row],[Product]],products!$A$1:$C$9,3,0)</f>
        <v>14</v>
      </c>
      <c r="K296">
        <f>VLOOKUP(Shoe_Sales[[#This Row],[Product]],products!$A$1:$C$9,2,FALSE)</f>
        <v>32</v>
      </c>
      <c r="L296">
        <f>Shoe_Sales[[#This Row],[Cost Price]]*Shoe_Sales[[#This Row],[Quantity]]</f>
        <v>98</v>
      </c>
      <c r="M296">
        <f>Shoe_Sales[[#This Row],[Selling Price]]*Shoe_Sales[[#This Row],[Quantity]]</f>
        <v>224</v>
      </c>
      <c r="N296">
        <f>Shoe_Sales[[#This Row],[Revenue]]-Shoe_Sales[[#This Row],[Cost]]</f>
        <v>126</v>
      </c>
      <c r="O296" s="3">
        <f>Shoe_Sales[[#This Row],[Profit]]/Shoe_Sales[[#This Row],[Revenue]]</f>
        <v>0.5625</v>
      </c>
    </row>
    <row r="297" spans="1:15" x14ac:dyDescent="0.35">
      <c r="A297" s="2" t="s">
        <v>346</v>
      </c>
      <c r="B297" s="2">
        <v>46163</v>
      </c>
      <c r="C297" t="s">
        <v>33</v>
      </c>
      <c r="D297" t="s">
        <v>25</v>
      </c>
      <c r="E297" t="s">
        <v>20</v>
      </c>
      <c r="F297" t="s">
        <v>35</v>
      </c>
      <c r="G297" t="s">
        <v>23</v>
      </c>
      <c r="H297">
        <v>8</v>
      </c>
      <c r="I297" t="s">
        <v>47</v>
      </c>
      <c r="J297">
        <f>VLOOKUP(Shoe_Sales[[#This Row],[Product]],products!$A$1:$C$9,3,0)</f>
        <v>28</v>
      </c>
      <c r="K297">
        <f>VLOOKUP(Shoe_Sales[[#This Row],[Product]],products!$A$1:$C$9,2,FALSE)</f>
        <v>54</v>
      </c>
      <c r="L297">
        <f>Shoe_Sales[[#This Row],[Cost Price]]*Shoe_Sales[[#This Row],[Quantity]]</f>
        <v>224</v>
      </c>
      <c r="M297">
        <f>Shoe_Sales[[#This Row],[Selling Price]]*Shoe_Sales[[#This Row],[Quantity]]</f>
        <v>432</v>
      </c>
      <c r="N297">
        <f>Shoe_Sales[[#This Row],[Revenue]]-Shoe_Sales[[#This Row],[Cost]]</f>
        <v>208</v>
      </c>
      <c r="O297" s="3">
        <f>Shoe_Sales[[#This Row],[Profit]]/Shoe_Sales[[#This Row],[Revenue]]</f>
        <v>0.48148148148148145</v>
      </c>
    </row>
    <row r="298" spans="1:15" x14ac:dyDescent="0.35">
      <c r="A298" s="2" t="s">
        <v>347</v>
      </c>
      <c r="B298" s="2">
        <v>46163</v>
      </c>
      <c r="C298" t="s">
        <v>27</v>
      </c>
      <c r="D298" t="s">
        <v>10</v>
      </c>
      <c r="E298" t="s">
        <v>14</v>
      </c>
      <c r="F298" t="s">
        <v>17</v>
      </c>
      <c r="G298" t="s">
        <v>24</v>
      </c>
      <c r="H298">
        <v>1</v>
      </c>
      <c r="I298" t="s">
        <v>47</v>
      </c>
      <c r="J298">
        <f>VLOOKUP(Shoe_Sales[[#This Row],[Product]],products!$A$1:$C$9,3,0)</f>
        <v>14</v>
      </c>
      <c r="K298">
        <f>VLOOKUP(Shoe_Sales[[#This Row],[Product]],products!$A$1:$C$9,2,FALSE)</f>
        <v>32</v>
      </c>
      <c r="L298">
        <f>Shoe_Sales[[#This Row],[Cost Price]]*Shoe_Sales[[#This Row],[Quantity]]</f>
        <v>14</v>
      </c>
      <c r="M298">
        <f>Shoe_Sales[[#This Row],[Selling Price]]*Shoe_Sales[[#This Row],[Quantity]]</f>
        <v>32</v>
      </c>
      <c r="N298">
        <f>Shoe_Sales[[#This Row],[Revenue]]-Shoe_Sales[[#This Row],[Cost]]</f>
        <v>18</v>
      </c>
      <c r="O298" s="3">
        <f>Shoe_Sales[[#This Row],[Profit]]/Shoe_Sales[[#This Row],[Revenue]]</f>
        <v>0.5625</v>
      </c>
    </row>
    <row r="299" spans="1:15" x14ac:dyDescent="0.35">
      <c r="A299" s="2" t="s">
        <v>348</v>
      </c>
      <c r="B299" s="2">
        <v>46165</v>
      </c>
      <c r="C299" t="s">
        <v>38</v>
      </c>
      <c r="D299" t="s">
        <v>10</v>
      </c>
      <c r="E299" t="s">
        <v>11</v>
      </c>
      <c r="F299" t="s">
        <v>29</v>
      </c>
      <c r="G299" t="s">
        <v>32</v>
      </c>
      <c r="H299">
        <v>15</v>
      </c>
      <c r="I299" t="s">
        <v>46</v>
      </c>
      <c r="J299">
        <f>VLOOKUP(Shoe_Sales[[#This Row],[Product]],products!$A$1:$C$9,3,0)</f>
        <v>64</v>
      </c>
      <c r="K299">
        <f>VLOOKUP(Shoe_Sales[[#This Row],[Product]],products!$A$1:$C$9,2,FALSE)</f>
        <v>112</v>
      </c>
      <c r="L299">
        <f>Shoe_Sales[[#This Row],[Cost Price]]*Shoe_Sales[[#This Row],[Quantity]]</f>
        <v>960</v>
      </c>
      <c r="M299">
        <f>Shoe_Sales[[#This Row],[Selling Price]]*Shoe_Sales[[#This Row],[Quantity]]</f>
        <v>1680</v>
      </c>
      <c r="N299">
        <f>Shoe_Sales[[#This Row],[Revenue]]-Shoe_Sales[[#This Row],[Cost]]</f>
        <v>720</v>
      </c>
      <c r="O299" s="3">
        <f>Shoe_Sales[[#This Row],[Profit]]/Shoe_Sales[[#This Row],[Revenue]]</f>
        <v>0.42857142857142855</v>
      </c>
    </row>
    <row r="300" spans="1:15" x14ac:dyDescent="0.35">
      <c r="A300" s="2" t="s">
        <v>349</v>
      </c>
      <c r="B300" s="2">
        <v>46165</v>
      </c>
      <c r="C300" t="s">
        <v>41</v>
      </c>
      <c r="D300" t="s">
        <v>19</v>
      </c>
      <c r="E300" t="s">
        <v>14</v>
      </c>
      <c r="F300" t="s">
        <v>29</v>
      </c>
      <c r="G300" t="s">
        <v>24</v>
      </c>
      <c r="H300">
        <v>6</v>
      </c>
      <c r="I300" t="s">
        <v>45</v>
      </c>
      <c r="J300">
        <f>VLOOKUP(Shoe_Sales[[#This Row],[Product]],products!$A$1:$C$9,3,0)</f>
        <v>39</v>
      </c>
      <c r="K300">
        <f>VLOOKUP(Shoe_Sales[[#This Row],[Product]],products!$A$1:$C$9,2,FALSE)</f>
        <v>76</v>
      </c>
      <c r="L300">
        <f>Shoe_Sales[[#This Row],[Cost Price]]*Shoe_Sales[[#This Row],[Quantity]]</f>
        <v>234</v>
      </c>
      <c r="M300">
        <f>Shoe_Sales[[#This Row],[Selling Price]]*Shoe_Sales[[#This Row],[Quantity]]</f>
        <v>456</v>
      </c>
      <c r="N300">
        <f>Shoe_Sales[[#This Row],[Revenue]]-Shoe_Sales[[#This Row],[Cost]]</f>
        <v>222</v>
      </c>
      <c r="O300" s="3">
        <f>Shoe_Sales[[#This Row],[Profit]]/Shoe_Sales[[#This Row],[Revenue]]</f>
        <v>0.48684210526315791</v>
      </c>
    </row>
    <row r="301" spans="1:15" x14ac:dyDescent="0.35">
      <c r="A301" s="2" t="s">
        <v>350</v>
      </c>
      <c r="B301" s="2">
        <v>46165</v>
      </c>
      <c r="C301" t="s">
        <v>38</v>
      </c>
      <c r="D301" t="s">
        <v>25</v>
      </c>
      <c r="E301" t="s">
        <v>14</v>
      </c>
      <c r="F301" t="s">
        <v>8</v>
      </c>
      <c r="G301" t="s">
        <v>26</v>
      </c>
      <c r="H301">
        <v>9</v>
      </c>
      <c r="I301" t="s">
        <v>48</v>
      </c>
      <c r="J301">
        <f>VLOOKUP(Shoe_Sales[[#This Row],[Product]],products!$A$1:$C$9,3,0)</f>
        <v>64</v>
      </c>
      <c r="K301">
        <f>VLOOKUP(Shoe_Sales[[#This Row],[Product]],products!$A$1:$C$9,2,FALSE)</f>
        <v>112</v>
      </c>
      <c r="L301">
        <f>Shoe_Sales[[#This Row],[Cost Price]]*Shoe_Sales[[#This Row],[Quantity]]</f>
        <v>576</v>
      </c>
      <c r="M301">
        <f>Shoe_Sales[[#This Row],[Selling Price]]*Shoe_Sales[[#This Row],[Quantity]]</f>
        <v>1008</v>
      </c>
      <c r="N301">
        <f>Shoe_Sales[[#This Row],[Revenue]]-Shoe_Sales[[#This Row],[Cost]]</f>
        <v>432</v>
      </c>
      <c r="O301" s="3">
        <f>Shoe_Sales[[#This Row],[Profit]]/Shoe_Sales[[#This Row],[Revenue]]</f>
        <v>0.42857142857142855</v>
      </c>
    </row>
    <row r="302" spans="1:15" x14ac:dyDescent="0.35">
      <c r="A302" s="2" t="s">
        <v>351</v>
      </c>
      <c r="B302" s="2">
        <v>46166</v>
      </c>
      <c r="C302" t="s">
        <v>38</v>
      </c>
      <c r="D302" t="s">
        <v>25</v>
      </c>
      <c r="E302" t="s">
        <v>20</v>
      </c>
      <c r="F302" t="s">
        <v>29</v>
      </c>
      <c r="G302" t="s">
        <v>23</v>
      </c>
      <c r="H302">
        <v>10</v>
      </c>
      <c r="I302" t="s">
        <v>45</v>
      </c>
      <c r="J302">
        <f>VLOOKUP(Shoe_Sales[[#This Row],[Product]],products!$A$1:$C$9,3,0)</f>
        <v>64</v>
      </c>
      <c r="K302">
        <f>VLOOKUP(Shoe_Sales[[#This Row],[Product]],products!$A$1:$C$9,2,FALSE)</f>
        <v>112</v>
      </c>
      <c r="L302">
        <f>Shoe_Sales[[#This Row],[Cost Price]]*Shoe_Sales[[#This Row],[Quantity]]</f>
        <v>640</v>
      </c>
      <c r="M302">
        <f>Shoe_Sales[[#This Row],[Selling Price]]*Shoe_Sales[[#This Row],[Quantity]]</f>
        <v>1120</v>
      </c>
      <c r="N302">
        <f>Shoe_Sales[[#This Row],[Revenue]]-Shoe_Sales[[#This Row],[Cost]]</f>
        <v>480</v>
      </c>
      <c r="O302" s="3">
        <f>Shoe_Sales[[#This Row],[Profit]]/Shoe_Sales[[#This Row],[Revenue]]</f>
        <v>0.42857142857142855</v>
      </c>
    </row>
    <row r="303" spans="1:15" x14ac:dyDescent="0.35">
      <c r="A303" s="2" t="s">
        <v>352</v>
      </c>
      <c r="B303" s="2">
        <v>46167</v>
      </c>
      <c r="C303" t="s">
        <v>33</v>
      </c>
      <c r="D303" t="s">
        <v>10</v>
      </c>
      <c r="E303" t="s">
        <v>7</v>
      </c>
      <c r="F303" t="s">
        <v>29</v>
      </c>
      <c r="G303" t="s">
        <v>24</v>
      </c>
      <c r="H303">
        <v>10</v>
      </c>
      <c r="I303" t="s">
        <v>45</v>
      </c>
      <c r="J303">
        <f>VLOOKUP(Shoe_Sales[[#This Row],[Product]],products!$A$1:$C$9,3,0)</f>
        <v>28</v>
      </c>
      <c r="K303">
        <f>VLOOKUP(Shoe_Sales[[#This Row],[Product]],products!$A$1:$C$9,2,FALSE)</f>
        <v>54</v>
      </c>
      <c r="L303">
        <f>Shoe_Sales[[#This Row],[Cost Price]]*Shoe_Sales[[#This Row],[Quantity]]</f>
        <v>280</v>
      </c>
      <c r="M303">
        <f>Shoe_Sales[[#This Row],[Selling Price]]*Shoe_Sales[[#This Row],[Quantity]]</f>
        <v>540</v>
      </c>
      <c r="N303">
        <f>Shoe_Sales[[#This Row],[Revenue]]-Shoe_Sales[[#This Row],[Cost]]</f>
        <v>260</v>
      </c>
      <c r="O303" s="3">
        <f>Shoe_Sales[[#This Row],[Profit]]/Shoe_Sales[[#This Row],[Revenue]]</f>
        <v>0.48148148148148145</v>
      </c>
    </row>
    <row r="304" spans="1:15" x14ac:dyDescent="0.35">
      <c r="A304" s="2" t="s">
        <v>353</v>
      </c>
      <c r="B304" s="2">
        <v>46167</v>
      </c>
      <c r="C304" t="s">
        <v>42</v>
      </c>
      <c r="D304" t="s">
        <v>25</v>
      </c>
      <c r="E304" t="s">
        <v>7</v>
      </c>
      <c r="F304" t="s">
        <v>40</v>
      </c>
      <c r="G304" t="s">
        <v>21</v>
      </c>
      <c r="H304">
        <v>5</v>
      </c>
      <c r="I304" t="s">
        <v>47</v>
      </c>
      <c r="J304">
        <f>VLOOKUP(Shoe_Sales[[#This Row],[Product]],products!$A$1:$C$9,3,0)</f>
        <v>47</v>
      </c>
      <c r="K304">
        <f>VLOOKUP(Shoe_Sales[[#This Row],[Product]],products!$A$1:$C$9,2,FALSE)</f>
        <v>89</v>
      </c>
      <c r="L304">
        <f>Shoe_Sales[[#This Row],[Cost Price]]*Shoe_Sales[[#This Row],[Quantity]]</f>
        <v>235</v>
      </c>
      <c r="M304">
        <f>Shoe_Sales[[#This Row],[Selling Price]]*Shoe_Sales[[#This Row],[Quantity]]</f>
        <v>445</v>
      </c>
      <c r="N304">
        <f>Shoe_Sales[[#This Row],[Revenue]]-Shoe_Sales[[#This Row],[Cost]]</f>
        <v>210</v>
      </c>
      <c r="O304" s="3">
        <f>Shoe_Sales[[#This Row],[Profit]]/Shoe_Sales[[#This Row],[Revenue]]</f>
        <v>0.47191011235955055</v>
      </c>
    </row>
    <row r="305" spans="1:15" x14ac:dyDescent="0.35">
      <c r="A305" s="2" t="s">
        <v>354</v>
      </c>
      <c r="B305" s="2">
        <v>46167</v>
      </c>
      <c r="C305" t="s">
        <v>42</v>
      </c>
      <c r="D305" t="s">
        <v>25</v>
      </c>
      <c r="E305" t="s">
        <v>20</v>
      </c>
      <c r="F305" t="s">
        <v>17</v>
      </c>
      <c r="G305" t="s">
        <v>18</v>
      </c>
      <c r="H305">
        <v>9</v>
      </c>
      <c r="I305" t="s">
        <v>46</v>
      </c>
      <c r="J305">
        <f>VLOOKUP(Shoe_Sales[[#This Row],[Product]],products!$A$1:$C$9,3,0)</f>
        <v>47</v>
      </c>
      <c r="K305">
        <f>VLOOKUP(Shoe_Sales[[#This Row],[Product]],products!$A$1:$C$9,2,FALSE)</f>
        <v>89</v>
      </c>
      <c r="L305">
        <f>Shoe_Sales[[#This Row],[Cost Price]]*Shoe_Sales[[#This Row],[Quantity]]</f>
        <v>423</v>
      </c>
      <c r="M305">
        <f>Shoe_Sales[[#This Row],[Selling Price]]*Shoe_Sales[[#This Row],[Quantity]]</f>
        <v>801</v>
      </c>
      <c r="N305">
        <f>Shoe_Sales[[#This Row],[Revenue]]-Shoe_Sales[[#This Row],[Cost]]</f>
        <v>378</v>
      </c>
      <c r="O305" s="3">
        <f>Shoe_Sales[[#This Row],[Profit]]/Shoe_Sales[[#This Row],[Revenue]]</f>
        <v>0.47191011235955055</v>
      </c>
    </row>
    <row r="306" spans="1:15" x14ac:dyDescent="0.35">
      <c r="A306" s="2" t="s">
        <v>355</v>
      </c>
      <c r="B306" s="2">
        <v>46168</v>
      </c>
      <c r="C306" t="s">
        <v>27</v>
      </c>
      <c r="D306" t="s">
        <v>10</v>
      </c>
      <c r="E306" t="s">
        <v>7</v>
      </c>
      <c r="F306" t="s">
        <v>8</v>
      </c>
      <c r="G306" t="s">
        <v>15</v>
      </c>
      <c r="H306">
        <v>9</v>
      </c>
      <c r="I306" t="s">
        <v>45</v>
      </c>
      <c r="J306">
        <f>VLOOKUP(Shoe_Sales[[#This Row],[Product]],products!$A$1:$C$9,3,0)</f>
        <v>14</v>
      </c>
      <c r="K306">
        <f>VLOOKUP(Shoe_Sales[[#This Row],[Product]],products!$A$1:$C$9,2,FALSE)</f>
        <v>32</v>
      </c>
      <c r="L306">
        <f>Shoe_Sales[[#This Row],[Cost Price]]*Shoe_Sales[[#This Row],[Quantity]]</f>
        <v>126</v>
      </c>
      <c r="M306">
        <f>Shoe_Sales[[#This Row],[Selling Price]]*Shoe_Sales[[#This Row],[Quantity]]</f>
        <v>288</v>
      </c>
      <c r="N306">
        <f>Shoe_Sales[[#This Row],[Revenue]]-Shoe_Sales[[#This Row],[Cost]]</f>
        <v>162</v>
      </c>
      <c r="O306" s="3">
        <f>Shoe_Sales[[#This Row],[Profit]]/Shoe_Sales[[#This Row],[Revenue]]</f>
        <v>0.5625</v>
      </c>
    </row>
    <row r="307" spans="1:15" x14ac:dyDescent="0.35">
      <c r="A307" s="2" t="s">
        <v>356</v>
      </c>
      <c r="B307" s="2">
        <v>46168</v>
      </c>
      <c r="C307" t="s">
        <v>38</v>
      </c>
      <c r="D307" t="s">
        <v>25</v>
      </c>
      <c r="E307" t="s">
        <v>11</v>
      </c>
      <c r="F307" t="s">
        <v>8</v>
      </c>
      <c r="G307" t="s">
        <v>23</v>
      </c>
      <c r="H307">
        <v>6</v>
      </c>
      <c r="I307" t="s">
        <v>45</v>
      </c>
      <c r="J307">
        <f>VLOOKUP(Shoe_Sales[[#This Row],[Product]],products!$A$1:$C$9,3,0)</f>
        <v>64</v>
      </c>
      <c r="K307">
        <f>VLOOKUP(Shoe_Sales[[#This Row],[Product]],products!$A$1:$C$9,2,FALSE)</f>
        <v>112</v>
      </c>
      <c r="L307">
        <f>Shoe_Sales[[#This Row],[Cost Price]]*Shoe_Sales[[#This Row],[Quantity]]</f>
        <v>384</v>
      </c>
      <c r="M307">
        <f>Shoe_Sales[[#This Row],[Selling Price]]*Shoe_Sales[[#This Row],[Quantity]]</f>
        <v>672</v>
      </c>
      <c r="N307">
        <f>Shoe_Sales[[#This Row],[Revenue]]-Shoe_Sales[[#This Row],[Cost]]</f>
        <v>288</v>
      </c>
      <c r="O307" s="3">
        <f>Shoe_Sales[[#This Row],[Profit]]/Shoe_Sales[[#This Row],[Revenue]]</f>
        <v>0.42857142857142855</v>
      </c>
    </row>
    <row r="308" spans="1:15" x14ac:dyDescent="0.35">
      <c r="A308" s="2" t="s">
        <v>357</v>
      </c>
      <c r="B308" s="2">
        <v>46169</v>
      </c>
      <c r="C308" t="s">
        <v>22</v>
      </c>
      <c r="D308" t="s">
        <v>31</v>
      </c>
      <c r="E308" t="s">
        <v>16</v>
      </c>
      <c r="F308" t="s">
        <v>8</v>
      </c>
      <c r="G308" t="s">
        <v>21</v>
      </c>
      <c r="H308">
        <v>10</v>
      </c>
      <c r="I308" t="s">
        <v>46</v>
      </c>
      <c r="J308">
        <f>VLOOKUP(Shoe_Sales[[#This Row],[Product]],products!$A$1:$C$9,3,0)</f>
        <v>58</v>
      </c>
      <c r="K308">
        <f>VLOOKUP(Shoe_Sales[[#This Row],[Product]],products!$A$1:$C$9,2,FALSE)</f>
        <v>105</v>
      </c>
      <c r="L308">
        <f>Shoe_Sales[[#This Row],[Cost Price]]*Shoe_Sales[[#This Row],[Quantity]]</f>
        <v>580</v>
      </c>
      <c r="M308">
        <f>Shoe_Sales[[#This Row],[Selling Price]]*Shoe_Sales[[#This Row],[Quantity]]</f>
        <v>1050</v>
      </c>
      <c r="N308">
        <f>Shoe_Sales[[#This Row],[Revenue]]-Shoe_Sales[[#This Row],[Cost]]</f>
        <v>470</v>
      </c>
      <c r="O308" s="3">
        <f>Shoe_Sales[[#This Row],[Profit]]/Shoe_Sales[[#This Row],[Revenue]]</f>
        <v>0.44761904761904764</v>
      </c>
    </row>
    <row r="309" spans="1:15" x14ac:dyDescent="0.35">
      <c r="A309" s="2" t="s">
        <v>358</v>
      </c>
      <c r="B309" s="2">
        <v>46169</v>
      </c>
      <c r="C309" t="s">
        <v>39</v>
      </c>
      <c r="D309" t="s">
        <v>25</v>
      </c>
      <c r="E309" t="s">
        <v>20</v>
      </c>
      <c r="F309" t="s">
        <v>40</v>
      </c>
      <c r="G309" t="s">
        <v>23</v>
      </c>
      <c r="H309">
        <v>11</v>
      </c>
      <c r="I309" t="s">
        <v>48</v>
      </c>
      <c r="J309">
        <f>VLOOKUP(Shoe_Sales[[#This Row],[Product]],products!$A$1:$C$9,3,0)</f>
        <v>72</v>
      </c>
      <c r="K309">
        <f>VLOOKUP(Shoe_Sales[[#This Row],[Product]],products!$A$1:$C$9,2,FALSE)</f>
        <v>128</v>
      </c>
      <c r="L309">
        <f>Shoe_Sales[[#This Row],[Cost Price]]*Shoe_Sales[[#This Row],[Quantity]]</f>
        <v>792</v>
      </c>
      <c r="M309">
        <f>Shoe_Sales[[#This Row],[Selling Price]]*Shoe_Sales[[#This Row],[Quantity]]</f>
        <v>1408</v>
      </c>
      <c r="N309">
        <f>Shoe_Sales[[#This Row],[Revenue]]-Shoe_Sales[[#This Row],[Cost]]</f>
        <v>616</v>
      </c>
      <c r="O309" s="3">
        <f>Shoe_Sales[[#This Row],[Profit]]/Shoe_Sales[[#This Row],[Revenue]]</f>
        <v>0.4375</v>
      </c>
    </row>
    <row r="310" spans="1:15" x14ac:dyDescent="0.35">
      <c r="A310" s="2" t="s">
        <v>359</v>
      </c>
      <c r="B310" s="2">
        <v>46170</v>
      </c>
      <c r="C310" t="s">
        <v>42</v>
      </c>
      <c r="D310" t="s">
        <v>25</v>
      </c>
      <c r="E310" t="s">
        <v>11</v>
      </c>
      <c r="F310" t="s">
        <v>8</v>
      </c>
      <c r="G310" t="s">
        <v>26</v>
      </c>
      <c r="H310">
        <v>4</v>
      </c>
      <c r="I310" t="s">
        <v>47</v>
      </c>
      <c r="J310">
        <f>VLOOKUP(Shoe_Sales[[#This Row],[Product]],products!$A$1:$C$9,3,0)</f>
        <v>47</v>
      </c>
      <c r="K310">
        <f>VLOOKUP(Shoe_Sales[[#This Row],[Product]],products!$A$1:$C$9,2,FALSE)</f>
        <v>89</v>
      </c>
      <c r="L310">
        <f>Shoe_Sales[[#This Row],[Cost Price]]*Shoe_Sales[[#This Row],[Quantity]]</f>
        <v>188</v>
      </c>
      <c r="M310">
        <f>Shoe_Sales[[#This Row],[Selling Price]]*Shoe_Sales[[#This Row],[Quantity]]</f>
        <v>356</v>
      </c>
      <c r="N310">
        <f>Shoe_Sales[[#This Row],[Revenue]]-Shoe_Sales[[#This Row],[Cost]]</f>
        <v>168</v>
      </c>
      <c r="O310" s="3">
        <f>Shoe_Sales[[#This Row],[Profit]]/Shoe_Sales[[#This Row],[Revenue]]</f>
        <v>0.47191011235955055</v>
      </c>
    </row>
    <row r="311" spans="1:15" x14ac:dyDescent="0.35">
      <c r="A311" s="2" t="s">
        <v>360</v>
      </c>
      <c r="B311" s="2">
        <v>46171</v>
      </c>
      <c r="C311" t="s">
        <v>41</v>
      </c>
      <c r="D311" t="s">
        <v>19</v>
      </c>
      <c r="E311" t="s">
        <v>14</v>
      </c>
      <c r="F311" t="s">
        <v>17</v>
      </c>
      <c r="G311" t="s">
        <v>24</v>
      </c>
      <c r="H311">
        <v>7</v>
      </c>
      <c r="I311" t="s">
        <v>46</v>
      </c>
      <c r="J311">
        <f>VLOOKUP(Shoe_Sales[[#This Row],[Product]],products!$A$1:$C$9,3,0)</f>
        <v>39</v>
      </c>
      <c r="K311">
        <f>VLOOKUP(Shoe_Sales[[#This Row],[Product]],products!$A$1:$C$9,2,FALSE)</f>
        <v>76</v>
      </c>
      <c r="L311">
        <f>Shoe_Sales[[#This Row],[Cost Price]]*Shoe_Sales[[#This Row],[Quantity]]</f>
        <v>273</v>
      </c>
      <c r="M311">
        <f>Shoe_Sales[[#This Row],[Selling Price]]*Shoe_Sales[[#This Row],[Quantity]]</f>
        <v>532</v>
      </c>
      <c r="N311">
        <f>Shoe_Sales[[#This Row],[Revenue]]-Shoe_Sales[[#This Row],[Cost]]</f>
        <v>259</v>
      </c>
      <c r="O311" s="3">
        <f>Shoe_Sales[[#This Row],[Profit]]/Shoe_Sales[[#This Row],[Revenue]]</f>
        <v>0.48684210526315791</v>
      </c>
    </row>
    <row r="312" spans="1:15" x14ac:dyDescent="0.35">
      <c r="A312" s="2" t="s">
        <v>361</v>
      </c>
      <c r="B312" s="2">
        <v>46171</v>
      </c>
      <c r="C312" t="s">
        <v>38</v>
      </c>
      <c r="D312" t="s">
        <v>31</v>
      </c>
      <c r="E312" t="s">
        <v>14</v>
      </c>
      <c r="F312" t="s">
        <v>35</v>
      </c>
      <c r="G312" t="s">
        <v>30</v>
      </c>
      <c r="H312">
        <v>7</v>
      </c>
      <c r="I312" t="s">
        <v>46</v>
      </c>
      <c r="J312">
        <f>VLOOKUP(Shoe_Sales[[#This Row],[Product]],products!$A$1:$C$9,3,0)</f>
        <v>64</v>
      </c>
      <c r="K312">
        <f>VLOOKUP(Shoe_Sales[[#This Row],[Product]],products!$A$1:$C$9,2,FALSE)</f>
        <v>112</v>
      </c>
      <c r="L312">
        <f>Shoe_Sales[[#This Row],[Cost Price]]*Shoe_Sales[[#This Row],[Quantity]]</f>
        <v>448</v>
      </c>
      <c r="M312">
        <f>Shoe_Sales[[#This Row],[Selling Price]]*Shoe_Sales[[#This Row],[Quantity]]</f>
        <v>784</v>
      </c>
      <c r="N312">
        <f>Shoe_Sales[[#This Row],[Revenue]]-Shoe_Sales[[#This Row],[Cost]]</f>
        <v>336</v>
      </c>
      <c r="O312" s="3">
        <f>Shoe_Sales[[#This Row],[Profit]]/Shoe_Sales[[#This Row],[Revenue]]</f>
        <v>0.42857142857142855</v>
      </c>
    </row>
    <row r="313" spans="1:15" x14ac:dyDescent="0.35">
      <c r="A313" s="2" t="s">
        <v>362</v>
      </c>
      <c r="B313" s="2">
        <v>46172</v>
      </c>
      <c r="C313" t="s">
        <v>39</v>
      </c>
      <c r="D313" t="s">
        <v>25</v>
      </c>
      <c r="E313" t="s">
        <v>20</v>
      </c>
      <c r="F313" t="s">
        <v>35</v>
      </c>
      <c r="G313" t="s">
        <v>18</v>
      </c>
      <c r="H313">
        <v>3</v>
      </c>
      <c r="I313" t="s">
        <v>45</v>
      </c>
      <c r="J313">
        <f>VLOOKUP(Shoe_Sales[[#This Row],[Product]],products!$A$1:$C$9,3,0)</f>
        <v>72</v>
      </c>
      <c r="K313">
        <f>VLOOKUP(Shoe_Sales[[#This Row],[Product]],products!$A$1:$C$9,2,FALSE)</f>
        <v>128</v>
      </c>
      <c r="L313">
        <f>Shoe_Sales[[#This Row],[Cost Price]]*Shoe_Sales[[#This Row],[Quantity]]</f>
        <v>216</v>
      </c>
      <c r="M313">
        <f>Shoe_Sales[[#This Row],[Selling Price]]*Shoe_Sales[[#This Row],[Quantity]]</f>
        <v>384</v>
      </c>
      <c r="N313">
        <f>Shoe_Sales[[#This Row],[Revenue]]-Shoe_Sales[[#This Row],[Cost]]</f>
        <v>168</v>
      </c>
      <c r="O313" s="3">
        <f>Shoe_Sales[[#This Row],[Profit]]/Shoe_Sales[[#This Row],[Revenue]]</f>
        <v>0.4375</v>
      </c>
    </row>
    <row r="314" spans="1:15" x14ac:dyDescent="0.35">
      <c r="A314" s="2" t="s">
        <v>363</v>
      </c>
      <c r="B314" s="2">
        <v>46172</v>
      </c>
      <c r="C314" t="s">
        <v>42</v>
      </c>
      <c r="D314" t="s">
        <v>25</v>
      </c>
      <c r="E314" t="s">
        <v>14</v>
      </c>
      <c r="F314" t="s">
        <v>29</v>
      </c>
      <c r="G314" t="s">
        <v>15</v>
      </c>
      <c r="H314">
        <v>13</v>
      </c>
      <c r="I314" t="s">
        <v>47</v>
      </c>
      <c r="J314">
        <f>VLOOKUP(Shoe_Sales[[#This Row],[Product]],products!$A$1:$C$9,3,0)</f>
        <v>47</v>
      </c>
      <c r="K314">
        <f>VLOOKUP(Shoe_Sales[[#This Row],[Product]],products!$A$1:$C$9,2,FALSE)</f>
        <v>89</v>
      </c>
      <c r="L314">
        <f>Shoe_Sales[[#This Row],[Cost Price]]*Shoe_Sales[[#This Row],[Quantity]]</f>
        <v>611</v>
      </c>
      <c r="M314">
        <f>Shoe_Sales[[#This Row],[Selling Price]]*Shoe_Sales[[#This Row],[Quantity]]</f>
        <v>1157</v>
      </c>
      <c r="N314">
        <f>Shoe_Sales[[#This Row],[Revenue]]-Shoe_Sales[[#This Row],[Cost]]</f>
        <v>546</v>
      </c>
      <c r="O314" s="3">
        <f>Shoe_Sales[[#This Row],[Profit]]/Shoe_Sales[[#This Row],[Revenue]]</f>
        <v>0.47191011235955055</v>
      </c>
    </row>
    <row r="315" spans="1:15" x14ac:dyDescent="0.35">
      <c r="A315" s="2" t="s">
        <v>364</v>
      </c>
      <c r="B315" s="2">
        <v>46172</v>
      </c>
      <c r="C315" t="s">
        <v>27</v>
      </c>
      <c r="D315" t="s">
        <v>25</v>
      </c>
      <c r="E315" t="s">
        <v>20</v>
      </c>
      <c r="F315" t="s">
        <v>8</v>
      </c>
      <c r="G315" t="s">
        <v>9</v>
      </c>
      <c r="H315">
        <v>7</v>
      </c>
      <c r="I315" t="s">
        <v>45</v>
      </c>
      <c r="J315">
        <f>VLOOKUP(Shoe_Sales[[#This Row],[Product]],products!$A$1:$C$9,3,0)</f>
        <v>14</v>
      </c>
      <c r="K315">
        <f>VLOOKUP(Shoe_Sales[[#This Row],[Product]],products!$A$1:$C$9,2,FALSE)</f>
        <v>32</v>
      </c>
      <c r="L315">
        <f>Shoe_Sales[[#This Row],[Cost Price]]*Shoe_Sales[[#This Row],[Quantity]]</f>
        <v>98</v>
      </c>
      <c r="M315">
        <f>Shoe_Sales[[#This Row],[Selling Price]]*Shoe_Sales[[#This Row],[Quantity]]</f>
        <v>224</v>
      </c>
      <c r="N315">
        <f>Shoe_Sales[[#This Row],[Revenue]]-Shoe_Sales[[#This Row],[Cost]]</f>
        <v>126</v>
      </c>
      <c r="O315" s="3">
        <f>Shoe_Sales[[#This Row],[Profit]]/Shoe_Sales[[#This Row],[Revenue]]</f>
        <v>0.5625</v>
      </c>
    </row>
    <row r="316" spans="1:15" x14ac:dyDescent="0.35">
      <c r="A316" s="2" t="s">
        <v>365</v>
      </c>
      <c r="B316" s="2">
        <v>46173</v>
      </c>
      <c r="C316" t="s">
        <v>41</v>
      </c>
      <c r="D316" t="s">
        <v>25</v>
      </c>
      <c r="E316" t="s">
        <v>20</v>
      </c>
      <c r="F316" t="s">
        <v>40</v>
      </c>
      <c r="G316" t="s">
        <v>18</v>
      </c>
      <c r="H316">
        <v>9</v>
      </c>
      <c r="I316" t="s">
        <v>45</v>
      </c>
      <c r="J316">
        <f>VLOOKUP(Shoe_Sales[[#This Row],[Product]],products!$A$1:$C$9,3,0)</f>
        <v>39</v>
      </c>
      <c r="K316">
        <f>VLOOKUP(Shoe_Sales[[#This Row],[Product]],products!$A$1:$C$9,2,FALSE)</f>
        <v>76</v>
      </c>
      <c r="L316">
        <f>Shoe_Sales[[#This Row],[Cost Price]]*Shoe_Sales[[#This Row],[Quantity]]</f>
        <v>351</v>
      </c>
      <c r="M316">
        <f>Shoe_Sales[[#This Row],[Selling Price]]*Shoe_Sales[[#This Row],[Quantity]]</f>
        <v>684</v>
      </c>
      <c r="N316">
        <f>Shoe_Sales[[#This Row],[Revenue]]-Shoe_Sales[[#This Row],[Cost]]</f>
        <v>333</v>
      </c>
      <c r="O316" s="3">
        <f>Shoe_Sales[[#This Row],[Profit]]/Shoe_Sales[[#This Row],[Revenue]]</f>
        <v>0.48684210526315791</v>
      </c>
    </row>
    <row r="317" spans="1:15" x14ac:dyDescent="0.35">
      <c r="A317" s="2" t="s">
        <v>366</v>
      </c>
      <c r="B317" s="2">
        <v>46173</v>
      </c>
      <c r="C317" t="s">
        <v>39</v>
      </c>
      <c r="D317" t="s">
        <v>25</v>
      </c>
      <c r="E317" t="s">
        <v>16</v>
      </c>
      <c r="F317" t="s">
        <v>17</v>
      </c>
      <c r="G317" t="s">
        <v>36</v>
      </c>
      <c r="H317">
        <v>7</v>
      </c>
      <c r="I317" t="s">
        <v>46</v>
      </c>
      <c r="J317">
        <f>VLOOKUP(Shoe_Sales[[#This Row],[Product]],products!$A$1:$C$9,3,0)</f>
        <v>72</v>
      </c>
      <c r="K317">
        <f>VLOOKUP(Shoe_Sales[[#This Row],[Product]],products!$A$1:$C$9,2,FALSE)</f>
        <v>128</v>
      </c>
      <c r="L317">
        <f>Shoe_Sales[[#This Row],[Cost Price]]*Shoe_Sales[[#This Row],[Quantity]]</f>
        <v>504</v>
      </c>
      <c r="M317">
        <f>Shoe_Sales[[#This Row],[Selling Price]]*Shoe_Sales[[#This Row],[Quantity]]</f>
        <v>896</v>
      </c>
      <c r="N317">
        <f>Shoe_Sales[[#This Row],[Revenue]]-Shoe_Sales[[#This Row],[Cost]]</f>
        <v>392</v>
      </c>
      <c r="O317" s="3">
        <f>Shoe_Sales[[#This Row],[Profit]]/Shoe_Sales[[#This Row],[Revenue]]</f>
        <v>0.4375</v>
      </c>
    </row>
    <row r="318" spans="1:15" x14ac:dyDescent="0.35">
      <c r="A318" s="2" t="s">
        <v>367</v>
      </c>
      <c r="B318" s="2">
        <v>46173</v>
      </c>
      <c r="C318" t="s">
        <v>33</v>
      </c>
      <c r="D318" t="s">
        <v>25</v>
      </c>
      <c r="E318" t="s">
        <v>14</v>
      </c>
      <c r="F318" t="s">
        <v>8</v>
      </c>
      <c r="G318" t="s">
        <v>36</v>
      </c>
      <c r="H318">
        <v>10</v>
      </c>
      <c r="I318" t="s">
        <v>45</v>
      </c>
      <c r="J318">
        <f>VLOOKUP(Shoe_Sales[[#This Row],[Product]],products!$A$1:$C$9,3,0)</f>
        <v>28</v>
      </c>
      <c r="K318">
        <f>VLOOKUP(Shoe_Sales[[#This Row],[Product]],products!$A$1:$C$9,2,FALSE)</f>
        <v>54</v>
      </c>
      <c r="L318">
        <f>Shoe_Sales[[#This Row],[Cost Price]]*Shoe_Sales[[#This Row],[Quantity]]</f>
        <v>280</v>
      </c>
      <c r="M318">
        <f>Shoe_Sales[[#This Row],[Selling Price]]*Shoe_Sales[[#This Row],[Quantity]]</f>
        <v>540</v>
      </c>
      <c r="N318">
        <f>Shoe_Sales[[#This Row],[Revenue]]-Shoe_Sales[[#This Row],[Cost]]</f>
        <v>260</v>
      </c>
      <c r="O318" s="3">
        <f>Shoe_Sales[[#This Row],[Profit]]/Shoe_Sales[[#This Row],[Revenue]]</f>
        <v>0.48148148148148145</v>
      </c>
    </row>
    <row r="319" spans="1:15" x14ac:dyDescent="0.35">
      <c r="A319" s="2" t="s">
        <v>368</v>
      </c>
      <c r="B319" s="2">
        <v>46173</v>
      </c>
      <c r="C319" t="s">
        <v>27</v>
      </c>
      <c r="D319" t="s">
        <v>25</v>
      </c>
      <c r="E319" t="s">
        <v>11</v>
      </c>
      <c r="F319" t="s">
        <v>17</v>
      </c>
      <c r="G319" t="s">
        <v>36</v>
      </c>
      <c r="H319">
        <v>8</v>
      </c>
      <c r="I319" t="s">
        <v>48</v>
      </c>
      <c r="J319">
        <f>VLOOKUP(Shoe_Sales[[#This Row],[Product]],products!$A$1:$C$9,3,0)</f>
        <v>14</v>
      </c>
      <c r="K319">
        <f>VLOOKUP(Shoe_Sales[[#This Row],[Product]],products!$A$1:$C$9,2,FALSE)</f>
        <v>32</v>
      </c>
      <c r="L319">
        <f>Shoe_Sales[[#This Row],[Cost Price]]*Shoe_Sales[[#This Row],[Quantity]]</f>
        <v>112</v>
      </c>
      <c r="M319">
        <f>Shoe_Sales[[#This Row],[Selling Price]]*Shoe_Sales[[#This Row],[Quantity]]</f>
        <v>256</v>
      </c>
      <c r="N319">
        <f>Shoe_Sales[[#This Row],[Revenue]]-Shoe_Sales[[#This Row],[Cost]]</f>
        <v>144</v>
      </c>
      <c r="O319" s="3">
        <f>Shoe_Sales[[#This Row],[Profit]]/Shoe_Sales[[#This Row],[Revenue]]</f>
        <v>0.5625</v>
      </c>
    </row>
    <row r="320" spans="1:15" x14ac:dyDescent="0.35">
      <c r="A320" s="2" t="s">
        <v>369</v>
      </c>
      <c r="B320" s="2">
        <v>46174</v>
      </c>
      <c r="C320" t="s">
        <v>41</v>
      </c>
      <c r="D320" t="s">
        <v>25</v>
      </c>
      <c r="E320" t="s">
        <v>16</v>
      </c>
      <c r="F320" t="s">
        <v>29</v>
      </c>
      <c r="G320" t="s">
        <v>36</v>
      </c>
      <c r="H320">
        <v>9</v>
      </c>
      <c r="I320" t="s">
        <v>47</v>
      </c>
      <c r="J320">
        <f>VLOOKUP(Shoe_Sales[[#This Row],[Product]],products!$A$1:$C$9,3,0)</f>
        <v>39</v>
      </c>
      <c r="K320">
        <f>VLOOKUP(Shoe_Sales[[#This Row],[Product]],products!$A$1:$C$9,2,FALSE)</f>
        <v>76</v>
      </c>
      <c r="L320">
        <f>Shoe_Sales[[#This Row],[Cost Price]]*Shoe_Sales[[#This Row],[Quantity]]</f>
        <v>351</v>
      </c>
      <c r="M320">
        <f>Shoe_Sales[[#This Row],[Selling Price]]*Shoe_Sales[[#This Row],[Quantity]]</f>
        <v>684</v>
      </c>
      <c r="N320">
        <f>Shoe_Sales[[#This Row],[Revenue]]-Shoe_Sales[[#This Row],[Cost]]</f>
        <v>333</v>
      </c>
      <c r="O320" s="3">
        <f>Shoe_Sales[[#This Row],[Profit]]/Shoe_Sales[[#This Row],[Revenue]]</f>
        <v>0.48684210526315791</v>
      </c>
    </row>
    <row r="321" spans="1:15" x14ac:dyDescent="0.35">
      <c r="A321" s="2" t="s">
        <v>370</v>
      </c>
      <c r="B321" s="2">
        <v>46174</v>
      </c>
      <c r="C321" t="s">
        <v>39</v>
      </c>
      <c r="D321" t="s">
        <v>25</v>
      </c>
      <c r="E321" t="s">
        <v>11</v>
      </c>
      <c r="F321" t="s">
        <v>8</v>
      </c>
      <c r="G321" t="s">
        <v>15</v>
      </c>
      <c r="H321">
        <v>8</v>
      </c>
      <c r="I321" t="s">
        <v>45</v>
      </c>
      <c r="J321">
        <f>VLOOKUP(Shoe_Sales[[#This Row],[Product]],products!$A$1:$C$9,3,0)</f>
        <v>72</v>
      </c>
      <c r="K321">
        <f>VLOOKUP(Shoe_Sales[[#This Row],[Product]],products!$A$1:$C$9,2,FALSE)</f>
        <v>128</v>
      </c>
      <c r="L321">
        <f>Shoe_Sales[[#This Row],[Cost Price]]*Shoe_Sales[[#This Row],[Quantity]]</f>
        <v>576</v>
      </c>
      <c r="M321">
        <f>Shoe_Sales[[#This Row],[Selling Price]]*Shoe_Sales[[#This Row],[Quantity]]</f>
        <v>1024</v>
      </c>
      <c r="N321">
        <f>Shoe_Sales[[#This Row],[Revenue]]-Shoe_Sales[[#This Row],[Cost]]</f>
        <v>448</v>
      </c>
      <c r="O321" s="3">
        <f>Shoe_Sales[[#This Row],[Profit]]/Shoe_Sales[[#This Row],[Revenue]]</f>
        <v>0.4375</v>
      </c>
    </row>
    <row r="322" spans="1:15" x14ac:dyDescent="0.35">
      <c r="A322" s="2" t="s">
        <v>371</v>
      </c>
      <c r="B322" s="2">
        <v>46175</v>
      </c>
      <c r="C322" t="s">
        <v>39</v>
      </c>
      <c r="D322" t="s">
        <v>31</v>
      </c>
      <c r="E322" t="s">
        <v>7</v>
      </c>
      <c r="F322" t="s">
        <v>29</v>
      </c>
      <c r="G322" t="s">
        <v>30</v>
      </c>
      <c r="H322">
        <v>2</v>
      </c>
      <c r="I322" t="s">
        <v>47</v>
      </c>
      <c r="J322">
        <f>VLOOKUP(Shoe_Sales[[#This Row],[Product]],products!$A$1:$C$9,3,0)</f>
        <v>72</v>
      </c>
      <c r="K322">
        <f>VLOOKUP(Shoe_Sales[[#This Row],[Product]],products!$A$1:$C$9,2,FALSE)</f>
        <v>128</v>
      </c>
      <c r="L322">
        <f>Shoe_Sales[[#This Row],[Cost Price]]*Shoe_Sales[[#This Row],[Quantity]]</f>
        <v>144</v>
      </c>
      <c r="M322">
        <f>Shoe_Sales[[#This Row],[Selling Price]]*Shoe_Sales[[#This Row],[Quantity]]</f>
        <v>256</v>
      </c>
      <c r="N322">
        <f>Shoe_Sales[[#This Row],[Revenue]]-Shoe_Sales[[#This Row],[Cost]]</f>
        <v>112</v>
      </c>
      <c r="O322" s="3">
        <f>Shoe_Sales[[#This Row],[Profit]]/Shoe_Sales[[#This Row],[Revenue]]</f>
        <v>0.4375</v>
      </c>
    </row>
    <row r="323" spans="1:15" x14ac:dyDescent="0.35">
      <c r="A323" s="2" t="s">
        <v>372</v>
      </c>
      <c r="B323" s="2">
        <v>46175</v>
      </c>
      <c r="C323" t="s">
        <v>38</v>
      </c>
      <c r="D323" t="s">
        <v>25</v>
      </c>
      <c r="E323" t="s">
        <v>20</v>
      </c>
      <c r="F323" t="s">
        <v>29</v>
      </c>
      <c r="G323" t="s">
        <v>21</v>
      </c>
      <c r="H323">
        <v>8</v>
      </c>
      <c r="I323" t="s">
        <v>46</v>
      </c>
      <c r="J323">
        <f>VLOOKUP(Shoe_Sales[[#This Row],[Product]],products!$A$1:$C$9,3,0)</f>
        <v>64</v>
      </c>
      <c r="K323">
        <f>VLOOKUP(Shoe_Sales[[#This Row],[Product]],products!$A$1:$C$9,2,FALSE)</f>
        <v>112</v>
      </c>
      <c r="L323">
        <f>Shoe_Sales[[#This Row],[Cost Price]]*Shoe_Sales[[#This Row],[Quantity]]</f>
        <v>512</v>
      </c>
      <c r="M323">
        <f>Shoe_Sales[[#This Row],[Selling Price]]*Shoe_Sales[[#This Row],[Quantity]]</f>
        <v>896</v>
      </c>
      <c r="N323">
        <f>Shoe_Sales[[#This Row],[Revenue]]-Shoe_Sales[[#This Row],[Cost]]</f>
        <v>384</v>
      </c>
      <c r="O323" s="3">
        <f>Shoe_Sales[[#This Row],[Profit]]/Shoe_Sales[[#This Row],[Revenue]]</f>
        <v>0.42857142857142855</v>
      </c>
    </row>
    <row r="324" spans="1:15" x14ac:dyDescent="0.35">
      <c r="A324" s="2" t="s">
        <v>373</v>
      </c>
      <c r="B324" s="2">
        <v>46175</v>
      </c>
      <c r="C324" t="s">
        <v>13</v>
      </c>
      <c r="D324" t="s">
        <v>25</v>
      </c>
      <c r="E324" t="s">
        <v>11</v>
      </c>
      <c r="F324" t="s">
        <v>17</v>
      </c>
      <c r="G324" t="s">
        <v>23</v>
      </c>
      <c r="H324">
        <v>8</v>
      </c>
      <c r="I324" t="s">
        <v>46</v>
      </c>
      <c r="J324">
        <f>VLOOKUP(Shoe_Sales[[#This Row],[Product]],products!$A$1:$C$9,3,0)</f>
        <v>67</v>
      </c>
      <c r="K324">
        <f>VLOOKUP(Shoe_Sales[[#This Row],[Product]],products!$A$1:$C$9,2,FALSE)</f>
        <v>119</v>
      </c>
      <c r="L324">
        <f>Shoe_Sales[[#This Row],[Cost Price]]*Shoe_Sales[[#This Row],[Quantity]]</f>
        <v>536</v>
      </c>
      <c r="M324">
        <f>Shoe_Sales[[#This Row],[Selling Price]]*Shoe_Sales[[#This Row],[Quantity]]</f>
        <v>952</v>
      </c>
      <c r="N324">
        <f>Shoe_Sales[[#This Row],[Revenue]]-Shoe_Sales[[#This Row],[Cost]]</f>
        <v>416</v>
      </c>
      <c r="O324" s="3">
        <f>Shoe_Sales[[#This Row],[Profit]]/Shoe_Sales[[#This Row],[Revenue]]</f>
        <v>0.43697478991596639</v>
      </c>
    </row>
    <row r="325" spans="1:15" x14ac:dyDescent="0.35">
      <c r="A325" s="2" t="s">
        <v>374</v>
      </c>
      <c r="B325" s="2">
        <v>46175</v>
      </c>
      <c r="C325" t="s">
        <v>13</v>
      </c>
      <c r="D325" t="s">
        <v>19</v>
      </c>
      <c r="E325" t="s">
        <v>16</v>
      </c>
      <c r="F325" t="s">
        <v>29</v>
      </c>
      <c r="G325" t="s">
        <v>21</v>
      </c>
      <c r="H325">
        <v>5</v>
      </c>
      <c r="I325" t="s">
        <v>47</v>
      </c>
      <c r="J325">
        <f>VLOOKUP(Shoe_Sales[[#This Row],[Product]],products!$A$1:$C$9,3,0)</f>
        <v>67</v>
      </c>
      <c r="K325">
        <f>VLOOKUP(Shoe_Sales[[#This Row],[Product]],products!$A$1:$C$9,2,FALSE)</f>
        <v>119</v>
      </c>
      <c r="L325">
        <f>Shoe_Sales[[#This Row],[Cost Price]]*Shoe_Sales[[#This Row],[Quantity]]</f>
        <v>335</v>
      </c>
      <c r="M325">
        <f>Shoe_Sales[[#This Row],[Selling Price]]*Shoe_Sales[[#This Row],[Quantity]]</f>
        <v>595</v>
      </c>
      <c r="N325">
        <f>Shoe_Sales[[#This Row],[Revenue]]-Shoe_Sales[[#This Row],[Cost]]</f>
        <v>260</v>
      </c>
      <c r="O325" s="3">
        <f>Shoe_Sales[[#This Row],[Profit]]/Shoe_Sales[[#This Row],[Revenue]]</f>
        <v>0.43697478991596639</v>
      </c>
    </row>
    <row r="326" spans="1:15" x14ac:dyDescent="0.35">
      <c r="A326" s="2" t="s">
        <v>375</v>
      </c>
      <c r="B326" s="2">
        <v>46175</v>
      </c>
      <c r="C326" t="s">
        <v>22</v>
      </c>
      <c r="D326" t="s">
        <v>25</v>
      </c>
      <c r="E326" t="s">
        <v>20</v>
      </c>
      <c r="F326" t="s">
        <v>29</v>
      </c>
      <c r="G326" t="s">
        <v>23</v>
      </c>
      <c r="H326">
        <v>3</v>
      </c>
      <c r="I326" t="s">
        <v>45</v>
      </c>
      <c r="J326">
        <f>VLOOKUP(Shoe_Sales[[#This Row],[Product]],products!$A$1:$C$9,3,0)</f>
        <v>58</v>
      </c>
      <c r="K326">
        <f>VLOOKUP(Shoe_Sales[[#This Row],[Product]],products!$A$1:$C$9,2,FALSE)</f>
        <v>105</v>
      </c>
      <c r="L326">
        <f>Shoe_Sales[[#This Row],[Cost Price]]*Shoe_Sales[[#This Row],[Quantity]]</f>
        <v>174</v>
      </c>
      <c r="M326">
        <f>Shoe_Sales[[#This Row],[Selling Price]]*Shoe_Sales[[#This Row],[Quantity]]</f>
        <v>315</v>
      </c>
      <c r="N326">
        <f>Shoe_Sales[[#This Row],[Revenue]]-Shoe_Sales[[#This Row],[Cost]]</f>
        <v>141</v>
      </c>
      <c r="O326" s="3">
        <f>Shoe_Sales[[#This Row],[Profit]]/Shoe_Sales[[#This Row],[Revenue]]</f>
        <v>0.44761904761904764</v>
      </c>
    </row>
    <row r="327" spans="1:15" x14ac:dyDescent="0.35">
      <c r="A327" s="2" t="s">
        <v>376</v>
      </c>
      <c r="B327" s="2">
        <v>46175</v>
      </c>
      <c r="C327" t="s">
        <v>13</v>
      </c>
      <c r="D327" t="s">
        <v>10</v>
      </c>
      <c r="E327" t="s">
        <v>11</v>
      </c>
      <c r="F327" t="s">
        <v>35</v>
      </c>
      <c r="G327" t="s">
        <v>15</v>
      </c>
      <c r="H327">
        <v>7</v>
      </c>
      <c r="I327" t="s">
        <v>46</v>
      </c>
      <c r="J327">
        <f>VLOOKUP(Shoe_Sales[[#This Row],[Product]],products!$A$1:$C$9,3,0)</f>
        <v>67</v>
      </c>
      <c r="K327">
        <f>VLOOKUP(Shoe_Sales[[#This Row],[Product]],products!$A$1:$C$9,2,FALSE)</f>
        <v>119</v>
      </c>
      <c r="L327">
        <f>Shoe_Sales[[#This Row],[Cost Price]]*Shoe_Sales[[#This Row],[Quantity]]</f>
        <v>469</v>
      </c>
      <c r="M327">
        <f>Shoe_Sales[[#This Row],[Selling Price]]*Shoe_Sales[[#This Row],[Quantity]]</f>
        <v>833</v>
      </c>
      <c r="N327">
        <f>Shoe_Sales[[#This Row],[Revenue]]-Shoe_Sales[[#This Row],[Cost]]</f>
        <v>364</v>
      </c>
      <c r="O327" s="3">
        <f>Shoe_Sales[[#This Row],[Profit]]/Shoe_Sales[[#This Row],[Revenue]]</f>
        <v>0.43697478991596639</v>
      </c>
    </row>
    <row r="328" spans="1:15" x14ac:dyDescent="0.35">
      <c r="A328" s="2" t="s">
        <v>377</v>
      </c>
      <c r="B328" s="2">
        <v>46175</v>
      </c>
      <c r="C328" t="s">
        <v>33</v>
      </c>
      <c r="D328" t="s">
        <v>25</v>
      </c>
      <c r="E328" t="s">
        <v>14</v>
      </c>
      <c r="F328" t="s">
        <v>17</v>
      </c>
      <c r="G328" t="s">
        <v>24</v>
      </c>
      <c r="H328">
        <v>6</v>
      </c>
      <c r="I328" t="s">
        <v>47</v>
      </c>
      <c r="J328">
        <f>VLOOKUP(Shoe_Sales[[#This Row],[Product]],products!$A$1:$C$9,3,0)</f>
        <v>28</v>
      </c>
      <c r="K328">
        <f>VLOOKUP(Shoe_Sales[[#This Row],[Product]],products!$A$1:$C$9,2,FALSE)</f>
        <v>54</v>
      </c>
      <c r="L328">
        <f>Shoe_Sales[[#This Row],[Cost Price]]*Shoe_Sales[[#This Row],[Quantity]]</f>
        <v>168</v>
      </c>
      <c r="M328">
        <f>Shoe_Sales[[#This Row],[Selling Price]]*Shoe_Sales[[#This Row],[Quantity]]</f>
        <v>324</v>
      </c>
      <c r="N328">
        <f>Shoe_Sales[[#This Row],[Revenue]]-Shoe_Sales[[#This Row],[Cost]]</f>
        <v>156</v>
      </c>
      <c r="O328" s="3">
        <f>Shoe_Sales[[#This Row],[Profit]]/Shoe_Sales[[#This Row],[Revenue]]</f>
        <v>0.48148148148148145</v>
      </c>
    </row>
    <row r="329" spans="1:15" x14ac:dyDescent="0.35">
      <c r="A329" s="2" t="s">
        <v>378</v>
      </c>
      <c r="B329" s="2">
        <v>46175</v>
      </c>
      <c r="C329" t="s">
        <v>22</v>
      </c>
      <c r="D329" t="s">
        <v>25</v>
      </c>
      <c r="E329" t="s">
        <v>14</v>
      </c>
      <c r="F329" t="s">
        <v>8</v>
      </c>
      <c r="G329" t="s">
        <v>24</v>
      </c>
      <c r="H329">
        <v>15</v>
      </c>
      <c r="I329" t="s">
        <v>45</v>
      </c>
      <c r="J329">
        <f>VLOOKUP(Shoe_Sales[[#This Row],[Product]],products!$A$1:$C$9,3,0)</f>
        <v>58</v>
      </c>
      <c r="K329">
        <f>VLOOKUP(Shoe_Sales[[#This Row],[Product]],products!$A$1:$C$9,2,FALSE)</f>
        <v>105</v>
      </c>
      <c r="L329">
        <f>Shoe_Sales[[#This Row],[Cost Price]]*Shoe_Sales[[#This Row],[Quantity]]</f>
        <v>870</v>
      </c>
      <c r="M329">
        <f>Shoe_Sales[[#This Row],[Selling Price]]*Shoe_Sales[[#This Row],[Quantity]]</f>
        <v>1575</v>
      </c>
      <c r="N329">
        <f>Shoe_Sales[[#This Row],[Revenue]]-Shoe_Sales[[#This Row],[Cost]]</f>
        <v>705</v>
      </c>
      <c r="O329" s="3">
        <f>Shoe_Sales[[#This Row],[Profit]]/Shoe_Sales[[#This Row],[Revenue]]</f>
        <v>0.44761904761904764</v>
      </c>
    </row>
    <row r="330" spans="1:15" x14ac:dyDescent="0.35">
      <c r="A330" s="2" t="s">
        <v>379</v>
      </c>
      <c r="B330" s="2">
        <v>46175</v>
      </c>
      <c r="C330" t="s">
        <v>13</v>
      </c>
      <c r="D330" t="s">
        <v>19</v>
      </c>
      <c r="E330" t="s">
        <v>20</v>
      </c>
      <c r="F330" t="s">
        <v>17</v>
      </c>
      <c r="G330" t="s">
        <v>18</v>
      </c>
      <c r="H330">
        <v>4</v>
      </c>
      <c r="I330" t="s">
        <v>45</v>
      </c>
      <c r="J330">
        <f>VLOOKUP(Shoe_Sales[[#This Row],[Product]],products!$A$1:$C$9,3,0)</f>
        <v>67</v>
      </c>
      <c r="K330">
        <f>VLOOKUP(Shoe_Sales[[#This Row],[Product]],products!$A$1:$C$9,2,FALSE)</f>
        <v>119</v>
      </c>
      <c r="L330">
        <f>Shoe_Sales[[#This Row],[Cost Price]]*Shoe_Sales[[#This Row],[Quantity]]</f>
        <v>268</v>
      </c>
      <c r="M330">
        <f>Shoe_Sales[[#This Row],[Selling Price]]*Shoe_Sales[[#This Row],[Quantity]]</f>
        <v>476</v>
      </c>
      <c r="N330">
        <f>Shoe_Sales[[#This Row],[Revenue]]-Shoe_Sales[[#This Row],[Cost]]</f>
        <v>208</v>
      </c>
      <c r="O330" s="3">
        <f>Shoe_Sales[[#This Row],[Profit]]/Shoe_Sales[[#This Row],[Revenue]]</f>
        <v>0.43697478991596639</v>
      </c>
    </row>
    <row r="331" spans="1:15" x14ac:dyDescent="0.35">
      <c r="A331" s="2" t="s">
        <v>380</v>
      </c>
      <c r="B331" s="2">
        <v>46176</v>
      </c>
      <c r="C331" t="s">
        <v>22</v>
      </c>
      <c r="D331" t="s">
        <v>25</v>
      </c>
      <c r="E331" t="s">
        <v>14</v>
      </c>
      <c r="F331" t="s">
        <v>29</v>
      </c>
      <c r="G331" t="s">
        <v>26</v>
      </c>
      <c r="H331">
        <v>13</v>
      </c>
      <c r="I331" t="s">
        <v>45</v>
      </c>
      <c r="J331">
        <f>VLOOKUP(Shoe_Sales[[#This Row],[Product]],products!$A$1:$C$9,3,0)</f>
        <v>58</v>
      </c>
      <c r="K331">
        <f>VLOOKUP(Shoe_Sales[[#This Row],[Product]],products!$A$1:$C$9,2,FALSE)</f>
        <v>105</v>
      </c>
      <c r="L331">
        <f>Shoe_Sales[[#This Row],[Cost Price]]*Shoe_Sales[[#This Row],[Quantity]]</f>
        <v>754</v>
      </c>
      <c r="M331">
        <f>Shoe_Sales[[#This Row],[Selling Price]]*Shoe_Sales[[#This Row],[Quantity]]</f>
        <v>1365</v>
      </c>
      <c r="N331">
        <f>Shoe_Sales[[#This Row],[Revenue]]-Shoe_Sales[[#This Row],[Cost]]</f>
        <v>611</v>
      </c>
      <c r="O331" s="3">
        <f>Shoe_Sales[[#This Row],[Profit]]/Shoe_Sales[[#This Row],[Revenue]]</f>
        <v>0.44761904761904764</v>
      </c>
    </row>
    <row r="332" spans="1:15" x14ac:dyDescent="0.35">
      <c r="A332" s="2" t="s">
        <v>381</v>
      </c>
      <c r="B332" s="2">
        <v>46176</v>
      </c>
      <c r="C332" t="s">
        <v>41</v>
      </c>
      <c r="D332" t="s">
        <v>25</v>
      </c>
      <c r="E332" t="s">
        <v>14</v>
      </c>
      <c r="F332" t="s">
        <v>8</v>
      </c>
      <c r="G332" t="s">
        <v>24</v>
      </c>
      <c r="H332">
        <v>11</v>
      </c>
      <c r="I332" t="s">
        <v>45</v>
      </c>
      <c r="J332">
        <f>VLOOKUP(Shoe_Sales[[#This Row],[Product]],products!$A$1:$C$9,3,0)</f>
        <v>39</v>
      </c>
      <c r="K332">
        <f>VLOOKUP(Shoe_Sales[[#This Row],[Product]],products!$A$1:$C$9,2,FALSE)</f>
        <v>76</v>
      </c>
      <c r="L332">
        <f>Shoe_Sales[[#This Row],[Cost Price]]*Shoe_Sales[[#This Row],[Quantity]]</f>
        <v>429</v>
      </c>
      <c r="M332">
        <f>Shoe_Sales[[#This Row],[Selling Price]]*Shoe_Sales[[#This Row],[Quantity]]</f>
        <v>836</v>
      </c>
      <c r="N332">
        <f>Shoe_Sales[[#This Row],[Revenue]]-Shoe_Sales[[#This Row],[Cost]]</f>
        <v>407</v>
      </c>
      <c r="O332" s="3">
        <f>Shoe_Sales[[#This Row],[Profit]]/Shoe_Sales[[#This Row],[Revenue]]</f>
        <v>0.48684210526315791</v>
      </c>
    </row>
    <row r="333" spans="1:15" x14ac:dyDescent="0.35">
      <c r="A333" s="2" t="s">
        <v>382</v>
      </c>
      <c r="B333" s="2">
        <v>46177</v>
      </c>
      <c r="C333" t="s">
        <v>22</v>
      </c>
      <c r="D333" t="s">
        <v>31</v>
      </c>
      <c r="E333" t="s">
        <v>20</v>
      </c>
      <c r="F333" t="s">
        <v>8</v>
      </c>
      <c r="G333" t="s">
        <v>24</v>
      </c>
      <c r="H333">
        <v>8</v>
      </c>
      <c r="I333" t="s">
        <v>48</v>
      </c>
      <c r="J333">
        <f>VLOOKUP(Shoe_Sales[[#This Row],[Product]],products!$A$1:$C$9,3,0)</f>
        <v>58</v>
      </c>
      <c r="K333">
        <f>VLOOKUP(Shoe_Sales[[#This Row],[Product]],products!$A$1:$C$9,2,FALSE)</f>
        <v>105</v>
      </c>
      <c r="L333">
        <f>Shoe_Sales[[#This Row],[Cost Price]]*Shoe_Sales[[#This Row],[Quantity]]</f>
        <v>464</v>
      </c>
      <c r="M333">
        <f>Shoe_Sales[[#This Row],[Selling Price]]*Shoe_Sales[[#This Row],[Quantity]]</f>
        <v>840</v>
      </c>
      <c r="N333">
        <f>Shoe_Sales[[#This Row],[Revenue]]-Shoe_Sales[[#This Row],[Cost]]</f>
        <v>376</v>
      </c>
      <c r="O333" s="3">
        <f>Shoe_Sales[[#This Row],[Profit]]/Shoe_Sales[[#This Row],[Revenue]]</f>
        <v>0.44761904761904764</v>
      </c>
    </row>
    <row r="334" spans="1:15" x14ac:dyDescent="0.35">
      <c r="A334" s="2" t="s">
        <v>383</v>
      </c>
      <c r="B334" s="2">
        <v>46177</v>
      </c>
      <c r="C334" t="s">
        <v>39</v>
      </c>
      <c r="D334" t="s">
        <v>25</v>
      </c>
      <c r="E334" t="s">
        <v>20</v>
      </c>
      <c r="F334" t="s">
        <v>40</v>
      </c>
      <c r="G334" t="s">
        <v>15</v>
      </c>
      <c r="H334">
        <v>4</v>
      </c>
      <c r="I334" t="s">
        <v>47</v>
      </c>
      <c r="J334">
        <f>VLOOKUP(Shoe_Sales[[#This Row],[Product]],products!$A$1:$C$9,3,0)</f>
        <v>72</v>
      </c>
      <c r="K334">
        <f>VLOOKUP(Shoe_Sales[[#This Row],[Product]],products!$A$1:$C$9,2,FALSE)</f>
        <v>128</v>
      </c>
      <c r="L334">
        <f>Shoe_Sales[[#This Row],[Cost Price]]*Shoe_Sales[[#This Row],[Quantity]]</f>
        <v>288</v>
      </c>
      <c r="M334">
        <f>Shoe_Sales[[#This Row],[Selling Price]]*Shoe_Sales[[#This Row],[Quantity]]</f>
        <v>512</v>
      </c>
      <c r="N334">
        <f>Shoe_Sales[[#This Row],[Revenue]]-Shoe_Sales[[#This Row],[Cost]]</f>
        <v>224</v>
      </c>
      <c r="O334" s="3">
        <f>Shoe_Sales[[#This Row],[Profit]]/Shoe_Sales[[#This Row],[Revenue]]</f>
        <v>0.4375</v>
      </c>
    </row>
    <row r="335" spans="1:15" x14ac:dyDescent="0.35">
      <c r="A335" s="2" t="s">
        <v>384</v>
      </c>
      <c r="B335" s="2">
        <v>46177</v>
      </c>
      <c r="C335" t="s">
        <v>33</v>
      </c>
      <c r="D335" t="s">
        <v>31</v>
      </c>
      <c r="E335" t="s">
        <v>14</v>
      </c>
      <c r="F335" t="s">
        <v>8</v>
      </c>
      <c r="G335" t="s">
        <v>36</v>
      </c>
      <c r="H335">
        <v>6</v>
      </c>
      <c r="I335" t="s">
        <v>46</v>
      </c>
      <c r="J335">
        <f>VLOOKUP(Shoe_Sales[[#This Row],[Product]],products!$A$1:$C$9,3,0)</f>
        <v>28</v>
      </c>
      <c r="K335">
        <f>VLOOKUP(Shoe_Sales[[#This Row],[Product]],products!$A$1:$C$9,2,FALSE)</f>
        <v>54</v>
      </c>
      <c r="L335">
        <f>Shoe_Sales[[#This Row],[Cost Price]]*Shoe_Sales[[#This Row],[Quantity]]</f>
        <v>168</v>
      </c>
      <c r="M335">
        <f>Shoe_Sales[[#This Row],[Selling Price]]*Shoe_Sales[[#This Row],[Quantity]]</f>
        <v>324</v>
      </c>
      <c r="N335">
        <f>Shoe_Sales[[#This Row],[Revenue]]-Shoe_Sales[[#This Row],[Cost]]</f>
        <v>156</v>
      </c>
      <c r="O335" s="3">
        <f>Shoe_Sales[[#This Row],[Profit]]/Shoe_Sales[[#This Row],[Revenue]]</f>
        <v>0.48148148148148145</v>
      </c>
    </row>
    <row r="336" spans="1:15" x14ac:dyDescent="0.35">
      <c r="A336" s="2" t="s">
        <v>385</v>
      </c>
      <c r="B336" s="2">
        <v>46178</v>
      </c>
      <c r="C336" t="s">
        <v>13</v>
      </c>
      <c r="D336" t="s">
        <v>10</v>
      </c>
      <c r="E336" t="s">
        <v>20</v>
      </c>
      <c r="F336" t="s">
        <v>8</v>
      </c>
      <c r="G336" t="s">
        <v>34</v>
      </c>
      <c r="H336">
        <v>15</v>
      </c>
      <c r="I336" t="s">
        <v>47</v>
      </c>
      <c r="J336">
        <f>VLOOKUP(Shoe_Sales[[#This Row],[Product]],products!$A$1:$C$9,3,0)</f>
        <v>67</v>
      </c>
      <c r="K336">
        <f>VLOOKUP(Shoe_Sales[[#This Row],[Product]],products!$A$1:$C$9,2,FALSE)</f>
        <v>119</v>
      </c>
      <c r="L336">
        <f>Shoe_Sales[[#This Row],[Cost Price]]*Shoe_Sales[[#This Row],[Quantity]]</f>
        <v>1005</v>
      </c>
      <c r="M336">
        <f>Shoe_Sales[[#This Row],[Selling Price]]*Shoe_Sales[[#This Row],[Quantity]]</f>
        <v>1785</v>
      </c>
      <c r="N336">
        <f>Shoe_Sales[[#This Row],[Revenue]]-Shoe_Sales[[#This Row],[Cost]]</f>
        <v>780</v>
      </c>
      <c r="O336" s="3">
        <f>Shoe_Sales[[#This Row],[Profit]]/Shoe_Sales[[#This Row],[Revenue]]</f>
        <v>0.43697478991596639</v>
      </c>
    </row>
    <row r="337" spans="1:15" x14ac:dyDescent="0.35">
      <c r="A337" s="2" t="s">
        <v>386</v>
      </c>
      <c r="B337" s="2">
        <v>46178</v>
      </c>
      <c r="C337" t="s">
        <v>39</v>
      </c>
      <c r="D337" t="s">
        <v>25</v>
      </c>
      <c r="E337" t="s">
        <v>7</v>
      </c>
      <c r="F337" t="s">
        <v>17</v>
      </c>
      <c r="G337" t="s">
        <v>30</v>
      </c>
      <c r="H337">
        <v>14</v>
      </c>
      <c r="I337" t="s">
        <v>47</v>
      </c>
      <c r="J337">
        <f>VLOOKUP(Shoe_Sales[[#This Row],[Product]],products!$A$1:$C$9,3,0)</f>
        <v>72</v>
      </c>
      <c r="K337">
        <f>VLOOKUP(Shoe_Sales[[#This Row],[Product]],products!$A$1:$C$9,2,FALSE)</f>
        <v>128</v>
      </c>
      <c r="L337">
        <f>Shoe_Sales[[#This Row],[Cost Price]]*Shoe_Sales[[#This Row],[Quantity]]</f>
        <v>1008</v>
      </c>
      <c r="M337">
        <f>Shoe_Sales[[#This Row],[Selling Price]]*Shoe_Sales[[#This Row],[Quantity]]</f>
        <v>1792</v>
      </c>
      <c r="N337">
        <f>Shoe_Sales[[#This Row],[Revenue]]-Shoe_Sales[[#This Row],[Cost]]</f>
        <v>784</v>
      </c>
      <c r="O337" s="3">
        <f>Shoe_Sales[[#This Row],[Profit]]/Shoe_Sales[[#This Row],[Revenue]]</f>
        <v>0.4375</v>
      </c>
    </row>
    <row r="338" spans="1:15" x14ac:dyDescent="0.35">
      <c r="A338" s="2" t="s">
        <v>387</v>
      </c>
      <c r="B338" s="2">
        <v>46178</v>
      </c>
      <c r="C338" t="s">
        <v>33</v>
      </c>
      <c r="D338" t="s">
        <v>25</v>
      </c>
      <c r="E338" t="s">
        <v>11</v>
      </c>
      <c r="F338" t="s">
        <v>40</v>
      </c>
      <c r="G338" t="s">
        <v>30</v>
      </c>
      <c r="H338">
        <v>15</v>
      </c>
      <c r="I338" t="s">
        <v>45</v>
      </c>
      <c r="J338">
        <f>VLOOKUP(Shoe_Sales[[#This Row],[Product]],products!$A$1:$C$9,3,0)</f>
        <v>28</v>
      </c>
      <c r="K338">
        <f>VLOOKUP(Shoe_Sales[[#This Row],[Product]],products!$A$1:$C$9,2,FALSE)</f>
        <v>54</v>
      </c>
      <c r="L338">
        <f>Shoe_Sales[[#This Row],[Cost Price]]*Shoe_Sales[[#This Row],[Quantity]]</f>
        <v>420</v>
      </c>
      <c r="M338">
        <f>Shoe_Sales[[#This Row],[Selling Price]]*Shoe_Sales[[#This Row],[Quantity]]</f>
        <v>810</v>
      </c>
      <c r="N338">
        <f>Shoe_Sales[[#This Row],[Revenue]]-Shoe_Sales[[#This Row],[Cost]]</f>
        <v>390</v>
      </c>
      <c r="O338" s="3">
        <f>Shoe_Sales[[#This Row],[Profit]]/Shoe_Sales[[#This Row],[Revenue]]</f>
        <v>0.48148148148148145</v>
      </c>
    </row>
    <row r="339" spans="1:15" x14ac:dyDescent="0.35">
      <c r="A339" s="2" t="s">
        <v>388</v>
      </c>
      <c r="B339" s="2">
        <v>46179</v>
      </c>
      <c r="C339" t="s">
        <v>38</v>
      </c>
      <c r="D339" t="s">
        <v>25</v>
      </c>
      <c r="E339" t="s">
        <v>11</v>
      </c>
      <c r="F339" t="s">
        <v>17</v>
      </c>
      <c r="G339" t="s">
        <v>15</v>
      </c>
      <c r="H339">
        <v>8</v>
      </c>
      <c r="I339" t="s">
        <v>48</v>
      </c>
      <c r="J339">
        <f>VLOOKUP(Shoe_Sales[[#This Row],[Product]],products!$A$1:$C$9,3,0)</f>
        <v>64</v>
      </c>
      <c r="K339">
        <f>VLOOKUP(Shoe_Sales[[#This Row],[Product]],products!$A$1:$C$9,2,FALSE)</f>
        <v>112</v>
      </c>
      <c r="L339">
        <f>Shoe_Sales[[#This Row],[Cost Price]]*Shoe_Sales[[#This Row],[Quantity]]</f>
        <v>512</v>
      </c>
      <c r="M339">
        <f>Shoe_Sales[[#This Row],[Selling Price]]*Shoe_Sales[[#This Row],[Quantity]]</f>
        <v>896</v>
      </c>
      <c r="N339">
        <f>Shoe_Sales[[#This Row],[Revenue]]-Shoe_Sales[[#This Row],[Cost]]</f>
        <v>384</v>
      </c>
      <c r="O339" s="3">
        <f>Shoe_Sales[[#This Row],[Profit]]/Shoe_Sales[[#This Row],[Revenue]]</f>
        <v>0.42857142857142855</v>
      </c>
    </row>
    <row r="340" spans="1:15" x14ac:dyDescent="0.35">
      <c r="A340" s="2" t="s">
        <v>389</v>
      </c>
      <c r="B340" s="2">
        <v>46179</v>
      </c>
      <c r="C340" t="s">
        <v>42</v>
      </c>
      <c r="D340" t="s">
        <v>25</v>
      </c>
      <c r="E340" t="s">
        <v>20</v>
      </c>
      <c r="F340" t="s">
        <v>40</v>
      </c>
      <c r="G340" t="s">
        <v>37</v>
      </c>
      <c r="H340">
        <v>10</v>
      </c>
      <c r="I340" t="s">
        <v>45</v>
      </c>
      <c r="J340">
        <f>VLOOKUP(Shoe_Sales[[#This Row],[Product]],products!$A$1:$C$9,3,0)</f>
        <v>47</v>
      </c>
      <c r="K340">
        <f>VLOOKUP(Shoe_Sales[[#This Row],[Product]],products!$A$1:$C$9,2,FALSE)</f>
        <v>89</v>
      </c>
      <c r="L340">
        <f>Shoe_Sales[[#This Row],[Cost Price]]*Shoe_Sales[[#This Row],[Quantity]]</f>
        <v>470</v>
      </c>
      <c r="M340">
        <f>Shoe_Sales[[#This Row],[Selling Price]]*Shoe_Sales[[#This Row],[Quantity]]</f>
        <v>890</v>
      </c>
      <c r="N340">
        <f>Shoe_Sales[[#This Row],[Revenue]]-Shoe_Sales[[#This Row],[Cost]]</f>
        <v>420</v>
      </c>
      <c r="O340" s="3">
        <f>Shoe_Sales[[#This Row],[Profit]]/Shoe_Sales[[#This Row],[Revenue]]</f>
        <v>0.47191011235955055</v>
      </c>
    </row>
    <row r="341" spans="1:15" x14ac:dyDescent="0.35">
      <c r="A341" s="2" t="s">
        <v>390</v>
      </c>
      <c r="B341" s="2">
        <v>46179</v>
      </c>
      <c r="C341" t="s">
        <v>33</v>
      </c>
      <c r="D341" t="s">
        <v>25</v>
      </c>
      <c r="E341" t="s">
        <v>7</v>
      </c>
      <c r="F341" t="s">
        <v>8</v>
      </c>
      <c r="G341" t="s">
        <v>36</v>
      </c>
      <c r="H341">
        <v>7</v>
      </c>
      <c r="I341" t="s">
        <v>45</v>
      </c>
      <c r="J341">
        <f>VLOOKUP(Shoe_Sales[[#This Row],[Product]],products!$A$1:$C$9,3,0)</f>
        <v>28</v>
      </c>
      <c r="K341">
        <f>VLOOKUP(Shoe_Sales[[#This Row],[Product]],products!$A$1:$C$9,2,FALSE)</f>
        <v>54</v>
      </c>
      <c r="L341">
        <f>Shoe_Sales[[#This Row],[Cost Price]]*Shoe_Sales[[#This Row],[Quantity]]</f>
        <v>196</v>
      </c>
      <c r="M341">
        <f>Shoe_Sales[[#This Row],[Selling Price]]*Shoe_Sales[[#This Row],[Quantity]]</f>
        <v>378</v>
      </c>
      <c r="N341">
        <f>Shoe_Sales[[#This Row],[Revenue]]-Shoe_Sales[[#This Row],[Cost]]</f>
        <v>182</v>
      </c>
      <c r="O341" s="3">
        <f>Shoe_Sales[[#This Row],[Profit]]/Shoe_Sales[[#This Row],[Revenue]]</f>
        <v>0.48148148148148145</v>
      </c>
    </row>
    <row r="342" spans="1:15" x14ac:dyDescent="0.35">
      <c r="A342" s="2" t="s">
        <v>391</v>
      </c>
      <c r="B342" s="2">
        <v>46180</v>
      </c>
      <c r="C342" t="s">
        <v>42</v>
      </c>
      <c r="D342" t="s">
        <v>31</v>
      </c>
      <c r="E342" t="s">
        <v>20</v>
      </c>
      <c r="F342" t="s">
        <v>35</v>
      </c>
      <c r="G342" t="s">
        <v>18</v>
      </c>
      <c r="H342">
        <v>11</v>
      </c>
      <c r="I342" t="s">
        <v>48</v>
      </c>
      <c r="J342">
        <f>VLOOKUP(Shoe_Sales[[#This Row],[Product]],products!$A$1:$C$9,3,0)</f>
        <v>47</v>
      </c>
      <c r="K342">
        <f>VLOOKUP(Shoe_Sales[[#This Row],[Product]],products!$A$1:$C$9,2,FALSE)</f>
        <v>89</v>
      </c>
      <c r="L342">
        <f>Shoe_Sales[[#This Row],[Cost Price]]*Shoe_Sales[[#This Row],[Quantity]]</f>
        <v>517</v>
      </c>
      <c r="M342">
        <f>Shoe_Sales[[#This Row],[Selling Price]]*Shoe_Sales[[#This Row],[Quantity]]</f>
        <v>979</v>
      </c>
      <c r="N342">
        <f>Shoe_Sales[[#This Row],[Revenue]]-Shoe_Sales[[#This Row],[Cost]]</f>
        <v>462</v>
      </c>
      <c r="O342" s="3">
        <f>Shoe_Sales[[#This Row],[Profit]]/Shoe_Sales[[#This Row],[Revenue]]</f>
        <v>0.47191011235955055</v>
      </c>
    </row>
    <row r="343" spans="1:15" x14ac:dyDescent="0.35">
      <c r="A343" s="2" t="s">
        <v>392</v>
      </c>
      <c r="B343" s="2">
        <v>46180</v>
      </c>
      <c r="C343" t="s">
        <v>13</v>
      </c>
      <c r="D343" t="s">
        <v>10</v>
      </c>
      <c r="E343" t="s">
        <v>20</v>
      </c>
      <c r="F343" t="s">
        <v>8</v>
      </c>
      <c r="G343" t="s">
        <v>28</v>
      </c>
      <c r="H343">
        <v>13</v>
      </c>
      <c r="I343" t="s">
        <v>45</v>
      </c>
      <c r="J343">
        <f>VLOOKUP(Shoe_Sales[[#This Row],[Product]],products!$A$1:$C$9,3,0)</f>
        <v>67</v>
      </c>
      <c r="K343">
        <f>VLOOKUP(Shoe_Sales[[#This Row],[Product]],products!$A$1:$C$9,2,FALSE)</f>
        <v>119</v>
      </c>
      <c r="L343">
        <f>Shoe_Sales[[#This Row],[Cost Price]]*Shoe_Sales[[#This Row],[Quantity]]</f>
        <v>871</v>
      </c>
      <c r="M343">
        <f>Shoe_Sales[[#This Row],[Selling Price]]*Shoe_Sales[[#This Row],[Quantity]]</f>
        <v>1547</v>
      </c>
      <c r="N343">
        <f>Shoe_Sales[[#This Row],[Revenue]]-Shoe_Sales[[#This Row],[Cost]]</f>
        <v>676</v>
      </c>
      <c r="O343" s="3">
        <f>Shoe_Sales[[#This Row],[Profit]]/Shoe_Sales[[#This Row],[Revenue]]</f>
        <v>0.43697478991596639</v>
      </c>
    </row>
    <row r="344" spans="1:15" x14ac:dyDescent="0.35">
      <c r="A344" s="2" t="s">
        <v>393</v>
      </c>
      <c r="B344" s="2">
        <v>46181</v>
      </c>
      <c r="C344" t="s">
        <v>27</v>
      </c>
      <c r="D344" t="s">
        <v>25</v>
      </c>
      <c r="E344" t="s">
        <v>20</v>
      </c>
      <c r="F344" t="s">
        <v>35</v>
      </c>
      <c r="G344" t="s">
        <v>12</v>
      </c>
      <c r="H344">
        <v>5</v>
      </c>
      <c r="I344" t="s">
        <v>46</v>
      </c>
      <c r="J344">
        <f>VLOOKUP(Shoe_Sales[[#This Row],[Product]],products!$A$1:$C$9,3,0)</f>
        <v>14</v>
      </c>
      <c r="K344">
        <f>VLOOKUP(Shoe_Sales[[#This Row],[Product]],products!$A$1:$C$9,2,FALSE)</f>
        <v>32</v>
      </c>
      <c r="L344">
        <f>Shoe_Sales[[#This Row],[Cost Price]]*Shoe_Sales[[#This Row],[Quantity]]</f>
        <v>70</v>
      </c>
      <c r="M344">
        <f>Shoe_Sales[[#This Row],[Selling Price]]*Shoe_Sales[[#This Row],[Quantity]]</f>
        <v>160</v>
      </c>
      <c r="N344">
        <f>Shoe_Sales[[#This Row],[Revenue]]-Shoe_Sales[[#This Row],[Cost]]</f>
        <v>90</v>
      </c>
      <c r="O344" s="3">
        <f>Shoe_Sales[[#This Row],[Profit]]/Shoe_Sales[[#This Row],[Revenue]]</f>
        <v>0.5625</v>
      </c>
    </row>
    <row r="345" spans="1:15" x14ac:dyDescent="0.35">
      <c r="A345" s="2" t="s">
        <v>394</v>
      </c>
      <c r="B345" s="2">
        <v>46182</v>
      </c>
      <c r="C345" t="s">
        <v>38</v>
      </c>
      <c r="D345" t="s">
        <v>31</v>
      </c>
      <c r="E345" t="s">
        <v>20</v>
      </c>
      <c r="F345" t="s">
        <v>8</v>
      </c>
      <c r="G345" t="s">
        <v>36</v>
      </c>
      <c r="H345">
        <v>7</v>
      </c>
      <c r="I345" t="s">
        <v>48</v>
      </c>
      <c r="J345">
        <f>VLOOKUP(Shoe_Sales[[#This Row],[Product]],products!$A$1:$C$9,3,0)</f>
        <v>64</v>
      </c>
      <c r="K345">
        <f>VLOOKUP(Shoe_Sales[[#This Row],[Product]],products!$A$1:$C$9,2,FALSE)</f>
        <v>112</v>
      </c>
      <c r="L345">
        <f>Shoe_Sales[[#This Row],[Cost Price]]*Shoe_Sales[[#This Row],[Quantity]]</f>
        <v>448</v>
      </c>
      <c r="M345">
        <f>Shoe_Sales[[#This Row],[Selling Price]]*Shoe_Sales[[#This Row],[Quantity]]</f>
        <v>784</v>
      </c>
      <c r="N345">
        <f>Shoe_Sales[[#This Row],[Revenue]]-Shoe_Sales[[#This Row],[Cost]]</f>
        <v>336</v>
      </c>
      <c r="O345" s="3">
        <f>Shoe_Sales[[#This Row],[Profit]]/Shoe_Sales[[#This Row],[Revenue]]</f>
        <v>0.42857142857142855</v>
      </c>
    </row>
    <row r="346" spans="1:15" x14ac:dyDescent="0.35">
      <c r="A346" s="2" t="s">
        <v>395</v>
      </c>
      <c r="B346" s="2">
        <v>46182</v>
      </c>
      <c r="C346" t="s">
        <v>22</v>
      </c>
      <c r="D346" t="s">
        <v>25</v>
      </c>
      <c r="E346" t="s">
        <v>7</v>
      </c>
      <c r="F346" t="s">
        <v>8</v>
      </c>
      <c r="G346" t="s">
        <v>30</v>
      </c>
      <c r="H346">
        <v>15</v>
      </c>
      <c r="I346" t="s">
        <v>48</v>
      </c>
      <c r="J346">
        <f>VLOOKUP(Shoe_Sales[[#This Row],[Product]],products!$A$1:$C$9,3,0)</f>
        <v>58</v>
      </c>
      <c r="K346">
        <f>VLOOKUP(Shoe_Sales[[#This Row],[Product]],products!$A$1:$C$9,2,FALSE)</f>
        <v>105</v>
      </c>
      <c r="L346">
        <f>Shoe_Sales[[#This Row],[Cost Price]]*Shoe_Sales[[#This Row],[Quantity]]</f>
        <v>870</v>
      </c>
      <c r="M346">
        <f>Shoe_Sales[[#This Row],[Selling Price]]*Shoe_Sales[[#This Row],[Quantity]]</f>
        <v>1575</v>
      </c>
      <c r="N346">
        <f>Shoe_Sales[[#This Row],[Revenue]]-Shoe_Sales[[#This Row],[Cost]]</f>
        <v>705</v>
      </c>
      <c r="O346" s="3">
        <f>Shoe_Sales[[#This Row],[Profit]]/Shoe_Sales[[#This Row],[Revenue]]</f>
        <v>0.44761904761904764</v>
      </c>
    </row>
    <row r="347" spans="1:15" x14ac:dyDescent="0.35">
      <c r="A347" s="2" t="s">
        <v>396</v>
      </c>
      <c r="B347" s="2">
        <v>46182</v>
      </c>
      <c r="C347" t="s">
        <v>38</v>
      </c>
      <c r="D347" t="s">
        <v>10</v>
      </c>
      <c r="E347" t="s">
        <v>11</v>
      </c>
      <c r="F347" t="s">
        <v>40</v>
      </c>
      <c r="G347" t="s">
        <v>15</v>
      </c>
      <c r="H347">
        <v>14</v>
      </c>
      <c r="I347" t="s">
        <v>45</v>
      </c>
      <c r="J347">
        <f>VLOOKUP(Shoe_Sales[[#This Row],[Product]],products!$A$1:$C$9,3,0)</f>
        <v>64</v>
      </c>
      <c r="K347">
        <f>VLOOKUP(Shoe_Sales[[#This Row],[Product]],products!$A$1:$C$9,2,FALSE)</f>
        <v>112</v>
      </c>
      <c r="L347">
        <f>Shoe_Sales[[#This Row],[Cost Price]]*Shoe_Sales[[#This Row],[Quantity]]</f>
        <v>896</v>
      </c>
      <c r="M347">
        <f>Shoe_Sales[[#This Row],[Selling Price]]*Shoe_Sales[[#This Row],[Quantity]]</f>
        <v>1568</v>
      </c>
      <c r="N347">
        <f>Shoe_Sales[[#This Row],[Revenue]]-Shoe_Sales[[#This Row],[Cost]]</f>
        <v>672</v>
      </c>
      <c r="O347" s="3">
        <f>Shoe_Sales[[#This Row],[Profit]]/Shoe_Sales[[#This Row],[Revenue]]</f>
        <v>0.42857142857142855</v>
      </c>
    </row>
    <row r="348" spans="1:15" x14ac:dyDescent="0.35">
      <c r="A348" s="2" t="s">
        <v>397</v>
      </c>
      <c r="B348" s="2">
        <v>46182</v>
      </c>
      <c r="C348" t="s">
        <v>41</v>
      </c>
      <c r="D348" t="s">
        <v>10</v>
      </c>
      <c r="E348" t="s">
        <v>16</v>
      </c>
      <c r="F348" t="s">
        <v>40</v>
      </c>
      <c r="G348" t="s">
        <v>37</v>
      </c>
      <c r="H348">
        <v>6</v>
      </c>
      <c r="I348" t="s">
        <v>45</v>
      </c>
      <c r="J348">
        <f>VLOOKUP(Shoe_Sales[[#This Row],[Product]],products!$A$1:$C$9,3,0)</f>
        <v>39</v>
      </c>
      <c r="K348">
        <f>VLOOKUP(Shoe_Sales[[#This Row],[Product]],products!$A$1:$C$9,2,FALSE)</f>
        <v>76</v>
      </c>
      <c r="L348">
        <f>Shoe_Sales[[#This Row],[Cost Price]]*Shoe_Sales[[#This Row],[Quantity]]</f>
        <v>234</v>
      </c>
      <c r="M348">
        <f>Shoe_Sales[[#This Row],[Selling Price]]*Shoe_Sales[[#This Row],[Quantity]]</f>
        <v>456</v>
      </c>
      <c r="N348">
        <f>Shoe_Sales[[#This Row],[Revenue]]-Shoe_Sales[[#This Row],[Cost]]</f>
        <v>222</v>
      </c>
      <c r="O348" s="3">
        <f>Shoe_Sales[[#This Row],[Profit]]/Shoe_Sales[[#This Row],[Revenue]]</f>
        <v>0.48684210526315791</v>
      </c>
    </row>
    <row r="349" spans="1:15" x14ac:dyDescent="0.35">
      <c r="A349" s="2" t="s">
        <v>398</v>
      </c>
      <c r="B349" s="2">
        <v>46183</v>
      </c>
      <c r="C349" t="s">
        <v>38</v>
      </c>
      <c r="D349" t="s">
        <v>10</v>
      </c>
      <c r="E349" t="s">
        <v>16</v>
      </c>
      <c r="F349" t="s">
        <v>8</v>
      </c>
      <c r="G349" t="s">
        <v>18</v>
      </c>
      <c r="H349">
        <v>14</v>
      </c>
      <c r="I349" t="s">
        <v>46</v>
      </c>
      <c r="J349">
        <f>VLOOKUP(Shoe_Sales[[#This Row],[Product]],products!$A$1:$C$9,3,0)</f>
        <v>64</v>
      </c>
      <c r="K349">
        <f>VLOOKUP(Shoe_Sales[[#This Row],[Product]],products!$A$1:$C$9,2,FALSE)</f>
        <v>112</v>
      </c>
      <c r="L349">
        <f>Shoe_Sales[[#This Row],[Cost Price]]*Shoe_Sales[[#This Row],[Quantity]]</f>
        <v>896</v>
      </c>
      <c r="M349">
        <f>Shoe_Sales[[#This Row],[Selling Price]]*Shoe_Sales[[#This Row],[Quantity]]</f>
        <v>1568</v>
      </c>
      <c r="N349">
        <f>Shoe_Sales[[#This Row],[Revenue]]-Shoe_Sales[[#This Row],[Cost]]</f>
        <v>672</v>
      </c>
      <c r="O349" s="3">
        <f>Shoe_Sales[[#This Row],[Profit]]/Shoe_Sales[[#This Row],[Revenue]]</f>
        <v>0.42857142857142855</v>
      </c>
    </row>
    <row r="350" spans="1:15" x14ac:dyDescent="0.35">
      <c r="A350" s="2" t="s">
        <v>399</v>
      </c>
      <c r="B350" s="2">
        <v>46183</v>
      </c>
      <c r="C350" t="s">
        <v>33</v>
      </c>
      <c r="D350" t="s">
        <v>31</v>
      </c>
      <c r="E350" t="s">
        <v>11</v>
      </c>
      <c r="F350" t="s">
        <v>17</v>
      </c>
      <c r="G350" t="s">
        <v>23</v>
      </c>
      <c r="H350">
        <v>1</v>
      </c>
      <c r="I350" t="s">
        <v>47</v>
      </c>
      <c r="J350">
        <f>VLOOKUP(Shoe_Sales[[#This Row],[Product]],products!$A$1:$C$9,3,0)</f>
        <v>28</v>
      </c>
      <c r="K350">
        <f>VLOOKUP(Shoe_Sales[[#This Row],[Product]],products!$A$1:$C$9,2,FALSE)</f>
        <v>54</v>
      </c>
      <c r="L350">
        <f>Shoe_Sales[[#This Row],[Cost Price]]*Shoe_Sales[[#This Row],[Quantity]]</f>
        <v>28</v>
      </c>
      <c r="M350">
        <f>Shoe_Sales[[#This Row],[Selling Price]]*Shoe_Sales[[#This Row],[Quantity]]</f>
        <v>54</v>
      </c>
      <c r="N350">
        <f>Shoe_Sales[[#This Row],[Revenue]]-Shoe_Sales[[#This Row],[Cost]]</f>
        <v>26</v>
      </c>
      <c r="O350" s="3">
        <f>Shoe_Sales[[#This Row],[Profit]]/Shoe_Sales[[#This Row],[Revenue]]</f>
        <v>0.48148148148148145</v>
      </c>
    </row>
    <row r="351" spans="1:15" x14ac:dyDescent="0.35">
      <c r="A351" s="2" t="s">
        <v>400</v>
      </c>
      <c r="B351" s="2">
        <v>46184</v>
      </c>
      <c r="C351" t="s">
        <v>39</v>
      </c>
      <c r="D351" t="s">
        <v>10</v>
      </c>
      <c r="E351" t="s">
        <v>20</v>
      </c>
      <c r="F351" t="s">
        <v>8</v>
      </c>
      <c r="G351" t="s">
        <v>9</v>
      </c>
      <c r="H351">
        <v>5</v>
      </c>
      <c r="I351" t="s">
        <v>48</v>
      </c>
      <c r="J351">
        <f>VLOOKUP(Shoe_Sales[[#This Row],[Product]],products!$A$1:$C$9,3,0)</f>
        <v>72</v>
      </c>
      <c r="K351">
        <f>VLOOKUP(Shoe_Sales[[#This Row],[Product]],products!$A$1:$C$9,2,FALSE)</f>
        <v>128</v>
      </c>
      <c r="L351">
        <f>Shoe_Sales[[#This Row],[Cost Price]]*Shoe_Sales[[#This Row],[Quantity]]</f>
        <v>360</v>
      </c>
      <c r="M351">
        <f>Shoe_Sales[[#This Row],[Selling Price]]*Shoe_Sales[[#This Row],[Quantity]]</f>
        <v>640</v>
      </c>
      <c r="N351">
        <f>Shoe_Sales[[#This Row],[Revenue]]-Shoe_Sales[[#This Row],[Cost]]</f>
        <v>280</v>
      </c>
      <c r="O351" s="3">
        <f>Shoe_Sales[[#This Row],[Profit]]/Shoe_Sales[[#This Row],[Revenue]]</f>
        <v>0.4375</v>
      </c>
    </row>
    <row r="352" spans="1:15" x14ac:dyDescent="0.35">
      <c r="A352" s="2" t="s">
        <v>401</v>
      </c>
      <c r="B352" s="2">
        <v>46185</v>
      </c>
      <c r="C352" t="s">
        <v>39</v>
      </c>
      <c r="D352" t="s">
        <v>25</v>
      </c>
      <c r="E352" t="s">
        <v>16</v>
      </c>
      <c r="F352" t="s">
        <v>8</v>
      </c>
      <c r="G352" t="s">
        <v>37</v>
      </c>
      <c r="H352">
        <v>15</v>
      </c>
      <c r="I352" t="s">
        <v>46</v>
      </c>
      <c r="J352">
        <f>VLOOKUP(Shoe_Sales[[#This Row],[Product]],products!$A$1:$C$9,3,0)</f>
        <v>72</v>
      </c>
      <c r="K352">
        <f>VLOOKUP(Shoe_Sales[[#This Row],[Product]],products!$A$1:$C$9,2,FALSE)</f>
        <v>128</v>
      </c>
      <c r="L352">
        <f>Shoe_Sales[[#This Row],[Cost Price]]*Shoe_Sales[[#This Row],[Quantity]]</f>
        <v>1080</v>
      </c>
      <c r="M352">
        <f>Shoe_Sales[[#This Row],[Selling Price]]*Shoe_Sales[[#This Row],[Quantity]]</f>
        <v>1920</v>
      </c>
      <c r="N352">
        <f>Shoe_Sales[[#This Row],[Revenue]]-Shoe_Sales[[#This Row],[Cost]]</f>
        <v>840</v>
      </c>
      <c r="O352" s="3">
        <f>Shoe_Sales[[#This Row],[Profit]]/Shoe_Sales[[#This Row],[Revenue]]</f>
        <v>0.4375</v>
      </c>
    </row>
    <row r="353" spans="1:15" x14ac:dyDescent="0.35">
      <c r="A353" s="2" t="s">
        <v>402</v>
      </c>
      <c r="B353" s="2">
        <v>46185</v>
      </c>
      <c r="C353" t="s">
        <v>27</v>
      </c>
      <c r="D353" t="s">
        <v>25</v>
      </c>
      <c r="E353" t="s">
        <v>20</v>
      </c>
      <c r="F353" t="s">
        <v>17</v>
      </c>
      <c r="G353" t="s">
        <v>21</v>
      </c>
      <c r="H353">
        <v>15</v>
      </c>
      <c r="I353" t="s">
        <v>45</v>
      </c>
      <c r="J353">
        <f>VLOOKUP(Shoe_Sales[[#This Row],[Product]],products!$A$1:$C$9,3,0)</f>
        <v>14</v>
      </c>
      <c r="K353">
        <f>VLOOKUP(Shoe_Sales[[#This Row],[Product]],products!$A$1:$C$9,2,FALSE)</f>
        <v>32</v>
      </c>
      <c r="L353">
        <f>Shoe_Sales[[#This Row],[Cost Price]]*Shoe_Sales[[#This Row],[Quantity]]</f>
        <v>210</v>
      </c>
      <c r="M353">
        <f>Shoe_Sales[[#This Row],[Selling Price]]*Shoe_Sales[[#This Row],[Quantity]]</f>
        <v>480</v>
      </c>
      <c r="N353">
        <f>Shoe_Sales[[#This Row],[Revenue]]-Shoe_Sales[[#This Row],[Cost]]</f>
        <v>270</v>
      </c>
      <c r="O353" s="3">
        <f>Shoe_Sales[[#This Row],[Profit]]/Shoe_Sales[[#This Row],[Revenue]]</f>
        <v>0.5625</v>
      </c>
    </row>
    <row r="354" spans="1:15" x14ac:dyDescent="0.35">
      <c r="A354" s="2" t="s">
        <v>403</v>
      </c>
      <c r="B354" s="2">
        <v>46185</v>
      </c>
      <c r="C354" t="s">
        <v>42</v>
      </c>
      <c r="D354" t="s">
        <v>31</v>
      </c>
      <c r="E354" t="s">
        <v>7</v>
      </c>
      <c r="F354" t="s">
        <v>35</v>
      </c>
      <c r="G354" t="s">
        <v>12</v>
      </c>
      <c r="H354">
        <v>9</v>
      </c>
      <c r="I354" t="s">
        <v>46</v>
      </c>
      <c r="J354">
        <f>VLOOKUP(Shoe_Sales[[#This Row],[Product]],products!$A$1:$C$9,3,0)</f>
        <v>47</v>
      </c>
      <c r="K354">
        <f>VLOOKUP(Shoe_Sales[[#This Row],[Product]],products!$A$1:$C$9,2,FALSE)</f>
        <v>89</v>
      </c>
      <c r="L354">
        <f>Shoe_Sales[[#This Row],[Cost Price]]*Shoe_Sales[[#This Row],[Quantity]]</f>
        <v>423</v>
      </c>
      <c r="M354">
        <f>Shoe_Sales[[#This Row],[Selling Price]]*Shoe_Sales[[#This Row],[Quantity]]</f>
        <v>801</v>
      </c>
      <c r="N354">
        <f>Shoe_Sales[[#This Row],[Revenue]]-Shoe_Sales[[#This Row],[Cost]]</f>
        <v>378</v>
      </c>
      <c r="O354" s="3">
        <f>Shoe_Sales[[#This Row],[Profit]]/Shoe_Sales[[#This Row],[Revenue]]</f>
        <v>0.47191011235955055</v>
      </c>
    </row>
    <row r="355" spans="1:15" x14ac:dyDescent="0.35">
      <c r="A355" s="2" t="s">
        <v>404</v>
      </c>
      <c r="B355" s="2">
        <v>46185</v>
      </c>
      <c r="C355" t="s">
        <v>42</v>
      </c>
      <c r="D355" t="s">
        <v>31</v>
      </c>
      <c r="E355" t="s">
        <v>7</v>
      </c>
      <c r="F355" t="s">
        <v>40</v>
      </c>
      <c r="G355" t="s">
        <v>30</v>
      </c>
      <c r="H355">
        <v>14</v>
      </c>
      <c r="I355" t="s">
        <v>47</v>
      </c>
      <c r="J355">
        <f>VLOOKUP(Shoe_Sales[[#This Row],[Product]],products!$A$1:$C$9,3,0)</f>
        <v>47</v>
      </c>
      <c r="K355">
        <f>VLOOKUP(Shoe_Sales[[#This Row],[Product]],products!$A$1:$C$9,2,FALSE)</f>
        <v>89</v>
      </c>
      <c r="L355">
        <f>Shoe_Sales[[#This Row],[Cost Price]]*Shoe_Sales[[#This Row],[Quantity]]</f>
        <v>658</v>
      </c>
      <c r="M355">
        <f>Shoe_Sales[[#This Row],[Selling Price]]*Shoe_Sales[[#This Row],[Quantity]]</f>
        <v>1246</v>
      </c>
      <c r="N355">
        <f>Shoe_Sales[[#This Row],[Revenue]]-Shoe_Sales[[#This Row],[Cost]]</f>
        <v>588</v>
      </c>
      <c r="O355" s="3">
        <f>Shoe_Sales[[#This Row],[Profit]]/Shoe_Sales[[#This Row],[Revenue]]</f>
        <v>0.47191011235955055</v>
      </c>
    </row>
    <row r="356" spans="1:15" x14ac:dyDescent="0.35">
      <c r="A356" s="2" t="s">
        <v>405</v>
      </c>
      <c r="B356" s="2">
        <v>46187</v>
      </c>
      <c r="C356" t="s">
        <v>13</v>
      </c>
      <c r="D356" t="s">
        <v>31</v>
      </c>
      <c r="E356" t="s">
        <v>7</v>
      </c>
      <c r="F356" t="s">
        <v>8</v>
      </c>
      <c r="G356" t="s">
        <v>36</v>
      </c>
      <c r="H356">
        <v>10</v>
      </c>
      <c r="I356" t="s">
        <v>46</v>
      </c>
      <c r="J356">
        <f>VLOOKUP(Shoe_Sales[[#This Row],[Product]],products!$A$1:$C$9,3,0)</f>
        <v>67</v>
      </c>
      <c r="K356">
        <f>VLOOKUP(Shoe_Sales[[#This Row],[Product]],products!$A$1:$C$9,2,FALSE)</f>
        <v>119</v>
      </c>
      <c r="L356">
        <f>Shoe_Sales[[#This Row],[Cost Price]]*Shoe_Sales[[#This Row],[Quantity]]</f>
        <v>670</v>
      </c>
      <c r="M356">
        <f>Shoe_Sales[[#This Row],[Selling Price]]*Shoe_Sales[[#This Row],[Quantity]]</f>
        <v>1190</v>
      </c>
      <c r="N356">
        <f>Shoe_Sales[[#This Row],[Revenue]]-Shoe_Sales[[#This Row],[Cost]]</f>
        <v>520</v>
      </c>
      <c r="O356" s="3">
        <f>Shoe_Sales[[#This Row],[Profit]]/Shoe_Sales[[#This Row],[Revenue]]</f>
        <v>0.43697478991596639</v>
      </c>
    </row>
    <row r="357" spans="1:15" x14ac:dyDescent="0.35">
      <c r="A357" s="2" t="s">
        <v>406</v>
      </c>
      <c r="B357" s="2">
        <v>46187</v>
      </c>
      <c r="C357" t="s">
        <v>33</v>
      </c>
      <c r="D357" t="s">
        <v>25</v>
      </c>
      <c r="E357" t="s">
        <v>14</v>
      </c>
      <c r="F357" t="s">
        <v>8</v>
      </c>
      <c r="G357" t="s">
        <v>18</v>
      </c>
      <c r="H357">
        <v>10</v>
      </c>
      <c r="I357" t="s">
        <v>48</v>
      </c>
      <c r="J357">
        <f>VLOOKUP(Shoe_Sales[[#This Row],[Product]],products!$A$1:$C$9,3,0)</f>
        <v>28</v>
      </c>
      <c r="K357">
        <f>VLOOKUP(Shoe_Sales[[#This Row],[Product]],products!$A$1:$C$9,2,FALSE)</f>
        <v>54</v>
      </c>
      <c r="L357">
        <f>Shoe_Sales[[#This Row],[Cost Price]]*Shoe_Sales[[#This Row],[Quantity]]</f>
        <v>280</v>
      </c>
      <c r="M357">
        <f>Shoe_Sales[[#This Row],[Selling Price]]*Shoe_Sales[[#This Row],[Quantity]]</f>
        <v>540</v>
      </c>
      <c r="N357">
        <f>Shoe_Sales[[#This Row],[Revenue]]-Shoe_Sales[[#This Row],[Cost]]</f>
        <v>260</v>
      </c>
      <c r="O357" s="3">
        <f>Shoe_Sales[[#This Row],[Profit]]/Shoe_Sales[[#This Row],[Revenue]]</f>
        <v>0.48148148148148145</v>
      </c>
    </row>
    <row r="358" spans="1:15" x14ac:dyDescent="0.35">
      <c r="A358" s="2" t="s">
        <v>407</v>
      </c>
      <c r="B358" s="2">
        <v>46187</v>
      </c>
      <c r="C358" t="s">
        <v>41</v>
      </c>
      <c r="D358" t="s">
        <v>25</v>
      </c>
      <c r="E358" t="s">
        <v>20</v>
      </c>
      <c r="F358" t="s">
        <v>17</v>
      </c>
      <c r="G358" t="s">
        <v>9</v>
      </c>
      <c r="H358">
        <v>13</v>
      </c>
      <c r="I358" t="s">
        <v>48</v>
      </c>
      <c r="J358">
        <f>VLOOKUP(Shoe_Sales[[#This Row],[Product]],products!$A$1:$C$9,3,0)</f>
        <v>39</v>
      </c>
      <c r="K358">
        <f>VLOOKUP(Shoe_Sales[[#This Row],[Product]],products!$A$1:$C$9,2,FALSE)</f>
        <v>76</v>
      </c>
      <c r="L358">
        <f>Shoe_Sales[[#This Row],[Cost Price]]*Shoe_Sales[[#This Row],[Quantity]]</f>
        <v>507</v>
      </c>
      <c r="M358">
        <f>Shoe_Sales[[#This Row],[Selling Price]]*Shoe_Sales[[#This Row],[Quantity]]</f>
        <v>988</v>
      </c>
      <c r="N358">
        <f>Shoe_Sales[[#This Row],[Revenue]]-Shoe_Sales[[#This Row],[Cost]]</f>
        <v>481</v>
      </c>
      <c r="O358" s="3">
        <f>Shoe_Sales[[#This Row],[Profit]]/Shoe_Sales[[#This Row],[Revenue]]</f>
        <v>0.48684210526315791</v>
      </c>
    </row>
    <row r="359" spans="1:15" x14ac:dyDescent="0.35">
      <c r="A359" s="2" t="s">
        <v>408</v>
      </c>
      <c r="B359" s="2">
        <v>46187</v>
      </c>
      <c r="C359" t="s">
        <v>27</v>
      </c>
      <c r="D359" t="s">
        <v>25</v>
      </c>
      <c r="E359" t="s">
        <v>11</v>
      </c>
      <c r="F359" t="s">
        <v>8</v>
      </c>
      <c r="G359" t="s">
        <v>32</v>
      </c>
      <c r="H359">
        <v>10</v>
      </c>
      <c r="I359" t="s">
        <v>47</v>
      </c>
      <c r="J359">
        <f>VLOOKUP(Shoe_Sales[[#This Row],[Product]],products!$A$1:$C$9,3,0)</f>
        <v>14</v>
      </c>
      <c r="K359">
        <f>VLOOKUP(Shoe_Sales[[#This Row],[Product]],products!$A$1:$C$9,2,FALSE)</f>
        <v>32</v>
      </c>
      <c r="L359">
        <f>Shoe_Sales[[#This Row],[Cost Price]]*Shoe_Sales[[#This Row],[Quantity]]</f>
        <v>140</v>
      </c>
      <c r="M359">
        <f>Shoe_Sales[[#This Row],[Selling Price]]*Shoe_Sales[[#This Row],[Quantity]]</f>
        <v>320</v>
      </c>
      <c r="N359">
        <f>Shoe_Sales[[#This Row],[Revenue]]-Shoe_Sales[[#This Row],[Cost]]</f>
        <v>180</v>
      </c>
      <c r="O359" s="3">
        <f>Shoe_Sales[[#This Row],[Profit]]/Shoe_Sales[[#This Row],[Revenue]]</f>
        <v>0.5625</v>
      </c>
    </row>
    <row r="360" spans="1:15" x14ac:dyDescent="0.35">
      <c r="A360" s="2" t="s">
        <v>409</v>
      </c>
      <c r="B360" s="2">
        <v>46187</v>
      </c>
      <c r="C360" t="s">
        <v>13</v>
      </c>
      <c r="D360" t="s">
        <v>19</v>
      </c>
      <c r="E360" t="s">
        <v>11</v>
      </c>
      <c r="F360" t="s">
        <v>17</v>
      </c>
      <c r="G360" t="s">
        <v>18</v>
      </c>
      <c r="H360">
        <v>6</v>
      </c>
      <c r="I360" t="s">
        <v>46</v>
      </c>
      <c r="J360">
        <f>VLOOKUP(Shoe_Sales[[#This Row],[Product]],products!$A$1:$C$9,3,0)</f>
        <v>67</v>
      </c>
      <c r="K360">
        <f>VLOOKUP(Shoe_Sales[[#This Row],[Product]],products!$A$1:$C$9,2,FALSE)</f>
        <v>119</v>
      </c>
      <c r="L360">
        <f>Shoe_Sales[[#This Row],[Cost Price]]*Shoe_Sales[[#This Row],[Quantity]]</f>
        <v>402</v>
      </c>
      <c r="M360">
        <f>Shoe_Sales[[#This Row],[Selling Price]]*Shoe_Sales[[#This Row],[Quantity]]</f>
        <v>714</v>
      </c>
      <c r="N360">
        <f>Shoe_Sales[[#This Row],[Revenue]]-Shoe_Sales[[#This Row],[Cost]]</f>
        <v>312</v>
      </c>
      <c r="O360" s="3">
        <f>Shoe_Sales[[#This Row],[Profit]]/Shoe_Sales[[#This Row],[Revenue]]</f>
        <v>0.43697478991596639</v>
      </c>
    </row>
    <row r="361" spans="1:15" x14ac:dyDescent="0.35">
      <c r="A361" s="2" t="s">
        <v>410</v>
      </c>
      <c r="B361" s="2">
        <v>46187</v>
      </c>
      <c r="C361" t="s">
        <v>22</v>
      </c>
      <c r="D361" t="s">
        <v>10</v>
      </c>
      <c r="E361" t="s">
        <v>16</v>
      </c>
      <c r="F361" t="s">
        <v>40</v>
      </c>
      <c r="G361" t="s">
        <v>36</v>
      </c>
      <c r="H361">
        <v>8</v>
      </c>
      <c r="I361" t="s">
        <v>47</v>
      </c>
      <c r="J361">
        <f>VLOOKUP(Shoe_Sales[[#This Row],[Product]],products!$A$1:$C$9,3,0)</f>
        <v>58</v>
      </c>
      <c r="K361">
        <f>VLOOKUP(Shoe_Sales[[#This Row],[Product]],products!$A$1:$C$9,2,FALSE)</f>
        <v>105</v>
      </c>
      <c r="L361">
        <f>Shoe_Sales[[#This Row],[Cost Price]]*Shoe_Sales[[#This Row],[Quantity]]</f>
        <v>464</v>
      </c>
      <c r="M361">
        <f>Shoe_Sales[[#This Row],[Selling Price]]*Shoe_Sales[[#This Row],[Quantity]]</f>
        <v>840</v>
      </c>
      <c r="N361">
        <f>Shoe_Sales[[#This Row],[Revenue]]-Shoe_Sales[[#This Row],[Cost]]</f>
        <v>376</v>
      </c>
      <c r="O361" s="3">
        <f>Shoe_Sales[[#This Row],[Profit]]/Shoe_Sales[[#This Row],[Revenue]]</f>
        <v>0.44761904761904764</v>
      </c>
    </row>
    <row r="362" spans="1:15" x14ac:dyDescent="0.35">
      <c r="A362" s="2" t="s">
        <v>411</v>
      </c>
      <c r="B362" s="2">
        <v>46188</v>
      </c>
      <c r="C362" t="s">
        <v>22</v>
      </c>
      <c r="D362" t="s">
        <v>31</v>
      </c>
      <c r="E362" t="s">
        <v>11</v>
      </c>
      <c r="F362" t="s">
        <v>8</v>
      </c>
      <c r="G362" t="s">
        <v>34</v>
      </c>
      <c r="H362">
        <v>2</v>
      </c>
      <c r="I362" t="s">
        <v>47</v>
      </c>
      <c r="J362">
        <f>VLOOKUP(Shoe_Sales[[#This Row],[Product]],products!$A$1:$C$9,3,0)</f>
        <v>58</v>
      </c>
      <c r="K362">
        <f>VLOOKUP(Shoe_Sales[[#This Row],[Product]],products!$A$1:$C$9,2,FALSE)</f>
        <v>105</v>
      </c>
      <c r="L362">
        <f>Shoe_Sales[[#This Row],[Cost Price]]*Shoe_Sales[[#This Row],[Quantity]]</f>
        <v>116</v>
      </c>
      <c r="M362">
        <f>Shoe_Sales[[#This Row],[Selling Price]]*Shoe_Sales[[#This Row],[Quantity]]</f>
        <v>210</v>
      </c>
      <c r="N362">
        <f>Shoe_Sales[[#This Row],[Revenue]]-Shoe_Sales[[#This Row],[Cost]]</f>
        <v>94</v>
      </c>
      <c r="O362" s="3">
        <f>Shoe_Sales[[#This Row],[Profit]]/Shoe_Sales[[#This Row],[Revenue]]</f>
        <v>0.44761904761904764</v>
      </c>
    </row>
    <row r="363" spans="1:15" x14ac:dyDescent="0.35">
      <c r="A363" s="2" t="s">
        <v>412</v>
      </c>
      <c r="B363" s="2">
        <v>46188</v>
      </c>
      <c r="C363" t="s">
        <v>33</v>
      </c>
      <c r="D363" t="s">
        <v>25</v>
      </c>
      <c r="E363" t="s">
        <v>16</v>
      </c>
      <c r="F363" t="s">
        <v>17</v>
      </c>
      <c r="G363" t="s">
        <v>26</v>
      </c>
      <c r="H363">
        <v>11</v>
      </c>
      <c r="I363" t="s">
        <v>48</v>
      </c>
      <c r="J363">
        <f>VLOOKUP(Shoe_Sales[[#This Row],[Product]],products!$A$1:$C$9,3,0)</f>
        <v>28</v>
      </c>
      <c r="K363">
        <f>VLOOKUP(Shoe_Sales[[#This Row],[Product]],products!$A$1:$C$9,2,FALSE)</f>
        <v>54</v>
      </c>
      <c r="L363">
        <f>Shoe_Sales[[#This Row],[Cost Price]]*Shoe_Sales[[#This Row],[Quantity]]</f>
        <v>308</v>
      </c>
      <c r="M363">
        <f>Shoe_Sales[[#This Row],[Selling Price]]*Shoe_Sales[[#This Row],[Quantity]]</f>
        <v>594</v>
      </c>
      <c r="N363">
        <f>Shoe_Sales[[#This Row],[Revenue]]-Shoe_Sales[[#This Row],[Cost]]</f>
        <v>286</v>
      </c>
      <c r="O363" s="3">
        <f>Shoe_Sales[[#This Row],[Profit]]/Shoe_Sales[[#This Row],[Revenue]]</f>
        <v>0.48148148148148145</v>
      </c>
    </row>
    <row r="364" spans="1:15" x14ac:dyDescent="0.35">
      <c r="A364" s="2" t="s">
        <v>413</v>
      </c>
      <c r="B364" s="2">
        <v>46189</v>
      </c>
      <c r="C364" t="s">
        <v>22</v>
      </c>
      <c r="D364" t="s">
        <v>25</v>
      </c>
      <c r="E364" t="s">
        <v>16</v>
      </c>
      <c r="F364" t="s">
        <v>40</v>
      </c>
      <c r="G364" t="s">
        <v>18</v>
      </c>
      <c r="H364">
        <v>10</v>
      </c>
      <c r="I364" t="s">
        <v>47</v>
      </c>
      <c r="J364">
        <f>VLOOKUP(Shoe_Sales[[#This Row],[Product]],products!$A$1:$C$9,3,0)</f>
        <v>58</v>
      </c>
      <c r="K364">
        <f>VLOOKUP(Shoe_Sales[[#This Row],[Product]],products!$A$1:$C$9,2,FALSE)</f>
        <v>105</v>
      </c>
      <c r="L364">
        <f>Shoe_Sales[[#This Row],[Cost Price]]*Shoe_Sales[[#This Row],[Quantity]]</f>
        <v>580</v>
      </c>
      <c r="M364">
        <f>Shoe_Sales[[#This Row],[Selling Price]]*Shoe_Sales[[#This Row],[Quantity]]</f>
        <v>1050</v>
      </c>
      <c r="N364">
        <f>Shoe_Sales[[#This Row],[Revenue]]-Shoe_Sales[[#This Row],[Cost]]</f>
        <v>470</v>
      </c>
      <c r="O364" s="3">
        <f>Shoe_Sales[[#This Row],[Profit]]/Shoe_Sales[[#This Row],[Revenue]]</f>
        <v>0.44761904761904764</v>
      </c>
    </row>
    <row r="365" spans="1:15" x14ac:dyDescent="0.35">
      <c r="A365" s="2" t="s">
        <v>414</v>
      </c>
      <c r="B365" s="2">
        <v>46189</v>
      </c>
      <c r="C365" t="s">
        <v>22</v>
      </c>
      <c r="D365" t="s">
        <v>25</v>
      </c>
      <c r="E365" t="s">
        <v>7</v>
      </c>
      <c r="F365" t="s">
        <v>8</v>
      </c>
      <c r="G365" t="s">
        <v>23</v>
      </c>
      <c r="H365">
        <v>13</v>
      </c>
      <c r="I365" t="s">
        <v>46</v>
      </c>
      <c r="J365">
        <f>VLOOKUP(Shoe_Sales[[#This Row],[Product]],products!$A$1:$C$9,3,0)</f>
        <v>58</v>
      </c>
      <c r="K365">
        <f>VLOOKUP(Shoe_Sales[[#This Row],[Product]],products!$A$1:$C$9,2,FALSE)</f>
        <v>105</v>
      </c>
      <c r="L365">
        <f>Shoe_Sales[[#This Row],[Cost Price]]*Shoe_Sales[[#This Row],[Quantity]]</f>
        <v>754</v>
      </c>
      <c r="M365">
        <f>Shoe_Sales[[#This Row],[Selling Price]]*Shoe_Sales[[#This Row],[Quantity]]</f>
        <v>1365</v>
      </c>
      <c r="N365">
        <f>Shoe_Sales[[#This Row],[Revenue]]-Shoe_Sales[[#This Row],[Cost]]</f>
        <v>611</v>
      </c>
      <c r="O365" s="3">
        <f>Shoe_Sales[[#This Row],[Profit]]/Shoe_Sales[[#This Row],[Revenue]]</f>
        <v>0.44761904761904764</v>
      </c>
    </row>
    <row r="366" spans="1:15" x14ac:dyDescent="0.35">
      <c r="A366" s="2" t="s">
        <v>415</v>
      </c>
      <c r="B366" s="2">
        <v>46189</v>
      </c>
      <c r="C366" t="s">
        <v>41</v>
      </c>
      <c r="D366" t="s">
        <v>25</v>
      </c>
      <c r="E366" t="s">
        <v>14</v>
      </c>
      <c r="F366" t="s">
        <v>8</v>
      </c>
      <c r="G366" t="s">
        <v>30</v>
      </c>
      <c r="H366">
        <v>10</v>
      </c>
      <c r="I366" t="s">
        <v>46</v>
      </c>
      <c r="J366">
        <f>VLOOKUP(Shoe_Sales[[#This Row],[Product]],products!$A$1:$C$9,3,0)</f>
        <v>39</v>
      </c>
      <c r="K366">
        <f>VLOOKUP(Shoe_Sales[[#This Row],[Product]],products!$A$1:$C$9,2,FALSE)</f>
        <v>76</v>
      </c>
      <c r="L366">
        <f>Shoe_Sales[[#This Row],[Cost Price]]*Shoe_Sales[[#This Row],[Quantity]]</f>
        <v>390</v>
      </c>
      <c r="M366">
        <f>Shoe_Sales[[#This Row],[Selling Price]]*Shoe_Sales[[#This Row],[Quantity]]</f>
        <v>760</v>
      </c>
      <c r="N366">
        <f>Shoe_Sales[[#This Row],[Revenue]]-Shoe_Sales[[#This Row],[Cost]]</f>
        <v>370</v>
      </c>
      <c r="O366" s="3">
        <f>Shoe_Sales[[#This Row],[Profit]]/Shoe_Sales[[#This Row],[Revenue]]</f>
        <v>0.48684210526315791</v>
      </c>
    </row>
    <row r="367" spans="1:15" x14ac:dyDescent="0.35">
      <c r="A367" s="2" t="s">
        <v>416</v>
      </c>
      <c r="B367" s="2">
        <v>46190</v>
      </c>
      <c r="C367" t="s">
        <v>33</v>
      </c>
      <c r="D367" t="s">
        <v>25</v>
      </c>
      <c r="E367" t="s">
        <v>11</v>
      </c>
      <c r="F367" t="s">
        <v>35</v>
      </c>
      <c r="G367" t="s">
        <v>18</v>
      </c>
      <c r="H367">
        <v>15</v>
      </c>
      <c r="I367" t="s">
        <v>45</v>
      </c>
      <c r="J367">
        <f>VLOOKUP(Shoe_Sales[[#This Row],[Product]],products!$A$1:$C$9,3,0)</f>
        <v>28</v>
      </c>
      <c r="K367">
        <f>VLOOKUP(Shoe_Sales[[#This Row],[Product]],products!$A$1:$C$9,2,FALSE)</f>
        <v>54</v>
      </c>
      <c r="L367">
        <f>Shoe_Sales[[#This Row],[Cost Price]]*Shoe_Sales[[#This Row],[Quantity]]</f>
        <v>420</v>
      </c>
      <c r="M367">
        <f>Shoe_Sales[[#This Row],[Selling Price]]*Shoe_Sales[[#This Row],[Quantity]]</f>
        <v>810</v>
      </c>
      <c r="N367">
        <f>Shoe_Sales[[#This Row],[Revenue]]-Shoe_Sales[[#This Row],[Cost]]</f>
        <v>390</v>
      </c>
      <c r="O367" s="3">
        <f>Shoe_Sales[[#This Row],[Profit]]/Shoe_Sales[[#This Row],[Revenue]]</f>
        <v>0.48148148148148145</v>
      </c>
    </row>
    <row r="368" spans="1:15" x14ac:dyDescent="0.35">
      <c r="A368" s="2" t="s">
        <v>417</v>
      </c>
      <c r="B368" s="2">
        <v>46190</v>
      </c>
      <c r="C368" t="s">
        <v>27</v>
      </c>
      <c r="D368" t="s">
        <v>25</v>
      </c>
      <c r="E368" t="s">
        <v>16</v>
      </c>
      <c r="F368" t="s">
        <v>35</v>
      </c>
      <c r="G368" t="s">
        <v>30</v>
      </c>
      <c r="H368">
        <v>13</v>
      </c>
      <c r="I368" t="s">
        <v>48</v>
      </c>
      <c r="J368">
        <f>VLOOKUP(Shoe_Sales[[#This Row],[Product]],products!$A$1:$C$9,3,0)</f>
        <v>14</v>
      </c>
      <c r="K368">
        <f>VLOOKUP(Shoe_Sales[[#This Row],[Product]],products!$A$1:$C$9,2,FALSE)</f>
        <v>32</v>
      </c>
      <c r="L368">
        <f>Shoe_Sales[[#This Row],[Cost Price]]*Shoe_Sales[[#This Row],[Quantity]]</f>
        <v>182</v>
      </c>
      <c r="M368">
        <f>Shoe_Sales[[#This Row],[Selling Price]]*Shoe_Sales[[#This Row],[Quantity]]</f>
        <v>416</v>
      </c>
      <c r="N368">
        <f>Shoe_Sales[[#This Row],[Revenue]]-Shoe_Sales[[#This Row],[Cost]]</f>
        <v>234</v>
      </c>
      <c r="O368" s="3">
        <f>Shoe_Sales[[#This Row],[Profit]]/Shoe_Sales[[#This Row],[Revenue]]</f>
        <v>0.5625</v>
      </c>
    </row>
    <row r="369" spans="1:15" x14ac:dyDescent="0.35">
      <c r="A369" s="2" t="s">
        <v>418</v>
      </c>
      <c r="B369" s="2">
        <v>46190</v>
      </c>
      <c r="C369" t="s">
        <v>27</v>
      </c>
      <c r="D369" t="s">
        <v>31</v>
      </c>
      <c r="E369" t="s">
        <v>20</v>
      </c>
      <c r="F369" t="s">
        <v>8</v>
      </c>
      <c r="G369" t="s">
        <v>26</v>
      </c>
      <c r="H369">
        <v>4</v>
      </c>
      <c r="I369" t="s">
        <v>48</v>
      </c>
      <c r="J369">
        <f>VLOOKUP(Shoe_Sales[[#This Row],[Product]],products!$A$1:$C$9,3,0)</f>
        <v>14</v>
      </c>
      <c r="K369">
        <f>VLOOKUP(Shoe_Sales[[#This Row],[Product]],products!$A$1:$C$9,2,FALSE)</f>
        <v>32</v>
      </c>
      <c r="L369">
        <f>Shoe_Sales[[#This Row],[Cost Price]]*Shoe_Sales[[#This Row],[Quantity]]</f>
        <v>56</v>
      </c>
      <c r="M369">
        <f>Shoe_Sales[[#This Row],[Selling Price]]*Shoe_Sales[[#This Row],[Quantity]]</f>
        <v>128</v>
      </c>
      <c r="N369">
        <f>Shoe_Sales[[#This Row],[Revenue]]-Shoe_Sales[[#This Row],[Cost]]</f>
        <v>72</v>
      </c>
      <c r="O369" s="3">
        <f>Shoe_Sales[[#This Row],[Profit]]/Shoe_Sales[[#This Row],[Revenue]]</f>
        <v>0.5625</v>
      </c>
    </row>
    <row r="370" spans="1:15" x14ac:dyDescent="0.35">
      <c r="A370" s="2" t="s">
        <v>419</v>
      </c>
      <c r="B370" s="2">
        <v>46191</v>
      </c>
      <c r="C370" t="s">
        <v>39</v>
      </c>
      <c r="D370" t="s">
        <v>25</v>
      </c>
      <c r="E370" t="s">
        <v>20</v>
      </c>
      <c r="F370" t="s">
        <v>8</v>
      </c>
      <c r="G370" t="s">
        <v>21</v>
      </c>
      <c r="H370">
        <v>13</v>
      </c>
      <c r="I370" t="s">
        <v>47</v>
      </c>
      <c r="J370">
        <f>VLOOKUP(Shoe_Sales[[#This Row],[Product]],products!$A$1:$C$9,3,0)</f>
        <v>72</v>
      </c>
      <c r="K370">
        <f>VLOOKUP(Shoe_Sales[[#This Row],[Product]],products!$A$1:$C$9,2,FALSE)</f>
        <v>128</v>
      </c>
      <c r="L370">
        <f>Shoe_Sales[[#This Row],[Cost Price]]*Shoe_Sales[[#This Row],[Quantity]]</f>
        <v>936</v>
      </c>
      <c r="M370">
        <f>Shoe_Sales[[#This Row],[Selling Price]]*Shoe_Sales[[#This Row],[Quantity]]</f>
        <v>1664</v>
      </c>
      <c r="N370">
        <f>Shoe_Sales[[#This Row],[Revenue]]-Shoe_Sales[[#This Row],[Cost]]</f>
        <v>728</v>
      </c>
      <c r="O370" s="3">
        <f>Shoe_Sales[[#This Row],[Profit]]/Shoe_Sales[[#This Row],[Revenue]]</f>
        <v>0.4375</v>
      </c>
    </row>
    <row r="371" spans="1:15" x14ac:dyDescent="0.35">
      <c r="A371" s="2" t="s">
        <v>420</v>
      </c>
      <c r="B371" s="2">
        <v>46192</v>
      </c>
      <c r="C371" t="s">
        <v>13</v>
      </c>
      <c r="D371" t="s">
        <v>10</v>
      </c>
      <c r="E371" t="s">
        <v>16</v>
      </c>
      <c r="F371" t="s">
        <v>8</v>
      </c>
      <c r="G371" t="s">
        <v>28</v>
      </c>
      <c r="H371">
        <v>6</v>
      </c>
      <c r="I371" t="s">
        <v>47</v>
      </c>
      <c r="J371">
        <f>VLOOKUP(Shoe_Sales[[#This Row],[Product]],products!$A$1:$C$9,3,0)</f>
        <v>67</v>
      </c>
      <c r="K371">
        <f>VLOOKUP(Shoe_Sales[[#This Row],[Product]],products!$A$1:$C$9,2,FALSE)</f>
        <v>119</v>
      </c>
      <c r="L371">
        <f>Shoe_Sales[[#This Row],[Cost Price]]*Shoe_Sales[[#This Row],[Quantity]]</f>
        <v>402</v>
      </c>
      <c r="M371">
        <f>Shoe_Sales[[#This Row],[Selling Price]]*Shoe_Sales[[#This Row],[Quantity]]</f>
        <v>714</v>
      </c>
      <c r="N371">
        <f>Shoe_Sales[[#This Row],[Revenue]]-Shoe_Sales[[#This Row],[Cost]]</f>
        <v>312</v>
      </c>
      <c r="O371" s="3">
        <f>Shoe_Sales[[#This Row],[Profit]]/Shoe_Sales[[#This Row],[Revenue]]</f>
        <v>0.43697478991596639</v>
      </c>
    </row>
    <row r="372" spans="1:15" x14ac:dyDescent="0.35">
      <c r="A372" s="2" t="s">
        <v>421</v>
      </c>
      <c r="B372" s="2">
        <v>46193</v>
      </c>
      <c r="C372" t="s">
        <v>38</v>
      </c>
      <c r="D372" t="s">
        <v>25</v>
      </c>
      <c r="E372" t="s">
        <v>14</v>
      </c>
      <c r="F372" t="s">
        <v>8</v>
      </c>
      <c r="G372" t="s">
        <v>21</v>
      </c>
      <c r="H372">
        <v>4</v>
      </c>
      <c r="I372" t="s">
        <v>48</v>
      </c>
      <c r="J372">
        <f>VLOOKUP(Shoe_Sales[[#This Row],[Product]],products!$A$1:$C$9,3,0)</f>
        <v>64</v>
      </c>
      <c r="K372">
        <f>VLOOKUP(Shoe_Sales[[#This Row],[Product]],products!$A$1:$C$9,2,FALSE)</f>
        <v>112</v>
      </c>
      <c r="L372">
        <f>Shoe_Sales[[#This Row],[Cost Price]]*Shoe_Sales[[#This Row],[Quantity]]</f>
        <v>256</v>
      </c>
      <c r="M372">
        <f>Shoe_Sales[[#This Row],[Selling Price]]*Shoe_Sales[[#This Row],[Quantity]]</f>
        <v>448</v>
      </c>
      <c r="N372">
        <f>Shoe_Sales[[#This Row],[Revenue]]-Shoe_Sales[[#This Row],[Cost]]</f>
        <v>192</v>
      </c>
      <c r="O372" s="3">
        <f>Shoe_Sales[[#This Row],[Profit]]/Shoe_Sales[[#This Row],[Revenue]]</f>
        <v>0.42857142857142855</v>
      </c>
    </row>
    <row r="373" spans="1:15" x14ac:dyDescent="0.35">
      <c r="A373" s="2" t="s">
        <v>422</v>
      </c>
      <c r="B373" s="2">
        <v>46193</v>
      </c>
      <c r="C373" t="s">
        <v>42</v>
      </c>
      <c r="D373" t="s">
        <v>10</v>
      </c>
      <c r="E373" t="s">
        <v>11</v>
      </c>
      <c r="F373" t="s">
        <v>40</v>
      </c>
      <c r="G373" t="s">
        <v>18</v>
      </c>
      <c r="H373">
        <v>7</v>
      </c>
      <c r="I373" t="s">
        <v>46</v>
      </c>
      <c r="J373">
        <f>VLOOKUP(Shoe_Sales[[#This Row],[Product]],products!$A$1:$C$9,3,0)</f>
        <v>47</v>
      </c>
      <c r="K373">
        <f>VLOOKUP(Shoe_Sales[[#This Row],[Product]],products!$A$1:$C$9,2,FALSE)</f>
        <v>89</v>
      </c>
      <c r="L373">
        <f>Shoe_Sales[[#This Row],[Cost Price]]*Shoe_Sales[[#This Row],[Quantity]]</f>
        <v>329</v>
      </c>
      <c r="M373">
        <f>Shoe_Sales[[#This Row],[Selling Price]]*Shoe_Sales[[#This Row],[Quantity]]</f>
        <v>623</v>
      </c>
      <c r="N373">
        <f>Shoe_Sales[[#This Row],[Revenue]]-Shoe_Sales[[#This Row],[Cost]]</f>
        <v>294</v>
      </c>
      <c r="O373" s="3">
        <f>Shoe_Sales[[#This Row],[Profit]]/Shoe_Sales[[#This Row],[Revenue]]</f>
        <v>0.47191011235955055</v>
      </c>
    </row>
    <row r="374" spans="1:15" x14ac:dyDescent="0.35">
      <c r="A374" s="2" t="s">
        <v>423</v>
      </c>
      <c r="B374" s="2">
        <v>46193</v>
      </c>
      <c r="C374" t="s">
        <v>39</v>
      </c>
      <c r="D374" t="s">
        <v>31</v>
      </c>
      <c r="E374" t="s">
        <v>7</v>
      </c>
      <c r="F374" t="s">
        <v>35</v>
      </c>
      <c r="G374" t="s">
        <v>23</v>
      </c>
      <c r="H374">
        <v>11</v>
      </c>
      <c r="I374" t="s">
        <v>45</v>
      </c>
      <c r="J374">
        <f>VLOOKUP(Shoe_Sales[[#This Row],[Product]],products!$A$1:$C$9,3,0)</f>
        <v>72</v>
      </c>
      <c r="K374">
        <f>VLOOKUP(Shoe_Sales[[#This Row],[Product]],products!$A$1:$C$9,2,FALSE)</f>
        <v>128</v>
      </c>
      <c r="L374">
        <f>Shoe_Sales[[#This Row],[Cost Price]]*Shoe_Sales[[#This Row],[Quantity]]</f>
        <v>792</v>
      </c>
      <c r="M374">
        <f>Shoe_Sales[[#This Row],[Selling Price]]*Shoe_Sales[[#This Row],[Quantity]]</f>
        <v>1408</v>
      </c>
      <c r="N374">
        <f>Shoe_Sales[[#This Row],[Revenue]]-Shoe_Sales[[#This Row],[Cost]]</f>
        <v>616</v>
      </c>
      <c r="O374" s="3">
        <f>Shoe_Sales[[#This Row],[Profit]]/Shoe_Sales[[#This Row],[Revenue]]</f>
        <v>0.4375</v>
      </c>
    </row>
    <row r="375" spans="1:15" x14ac:dyDescent="0.35">
      <c r="A375" s="2" t="s">
        <v>424</v>
      </c>
      <c r="B375" s="2">
        <v>46193</v>
      </c>
      <c r="C375" t="s">
        <v>27</v>
      </c>
      <c r="D375" t="s">
        <v>25</v>
      </c>
      <c r="E375" t="s">
        <v>16</v>
      </c>
      <c r="F375" t="s">
        <v>8</v>
      </c>
      <c r="G375" t="s">
        <v>18</v>
      </c>
      <c r="H375">
        <v>9</v>
      </c>
      <c r="I375" t="s">
        <v>46</v>
      </c>
      <c r="J375">
        <f>VLOOKUP(Shoe_Sales[[#This Row],[Product]],products!$A$1:$C$9,3,0)</f>
        <v>14</v>
      </c>
      <c r="K375">
        <f>VLOOKUP(Shoe_Sales[[#This Row],[Product]],products!$A$1:$C$9,2,FALSE)</f>
        <v>32</v>
      </c>
      <c r="L375">
        <f>Shoe_Sales[[#This Row],[Cost Price]]*Shoe_Sales[[#This Row],[Quantity]]</f>
        <v>126</v>
      </c>
      <c r="M375">
        <f>Shoe_Sales[[#This Row],[Selling Price]]*Shoe_Sales[[#This Row],[Quantity]]</f>
        <v>288</v>
      </c>
      <c r="N375">
        <f>Shoe_Sales[[#This Row],[Revenue]]-Shoe_Sales[[#This Row],[Cost]]</f>
        <v>162</v>
      </c>
      <c r="O375" s="3">
        <f>Shoe_Sales[[#This Row],[Profit]]/Shoe_Sales[[#This Row],[Revenue]]</f>
        <v>0.5625</v>
      </c>
    </row>
    <row r="376" spans="1:15" x14ac:dyDescent="0.35">
      <c r="A376" s="2" t="s">
        <v>425</v>
      </c>
      <c r="B376" s="2">
        <v>46194</v>
      </c>
      <c r="C376" t="s">
        <v>41</v>
      </c>
      <c r="D376" t="s">
        <v>25</v>
      </c>
      <c r="E376" t="s">
        <v>11</v>
      </c>
      <c r="F376" t="s">
        <v>8</v>
      </c>
      <c r="G376" t="s">
        <v>21</v>
      </c>
      <c r="H376">
        <v>14</v>
      </c>
      <c r="I376" t="s">
        <v>46</v>
      </c>
      <c r="J376">
        <f>VLOOKUP(Shoe_Sales[[#This Row],[Product]],products!$A$1:$C$9,3,0)</f>
        <v>39</v>
      </c>
      <c r="K376">
        <f>VLOOKUP(Shoe_Sales[[#This Row],[Product]],products!$A$1:$C$9,2,FALSE)</f>
        <v>76</v>
      </c>
      <c r="L376">
        <f>Shoe_Sales[[#This Row],[Cost Price]]*Shoe_Sales[[#This Row],[Quantity]]</f>
        <v>546</v>
      </c>
      <c r="M376">
        <f>Shoe_Sales[[#This Row],[Selling Price]]*Shoe_Sales[[#This Row],[Quantity]]</f>
        <v>1064</v>
      </c>
      <c r="N376">
        <f>Shoe_Sales[[#This Row],[Revenue]]-Shoe_Sales[[#This Row],[Cost]]</f>
        <v>518</v>
      </c>
      <c r="O376" s="3">
        <f>Shoe_Sales[[#This Row],[Profit]]/Shoe_Sales[[#This Row],[Revenue]]</f>
        <v>0.48684210526315791</v>
      </c>
    </row>
    <row r="377" spans="1:15" x14ac:dyDescent="0.35">
      <c r="A377" s="2" t="s">
        <v>426</v>
      </c>
      <c r="B377" s="2">
        <v>46194</v>
      </c>
      <c r="C377" t="s">
        <v>38</v>
      </c>
      <c r="D377" t="s">
        <v>25</v>
      </c>
      <c r="E377" t="s">
        <v>14</v>
      </c>
      <c r="F377" t="s">
        <v>17</v>
      </c>
      <c r="G377" t="s">
        <v>18</v>
      </c>
      <c r="H377">
        <v>3</v>
      </c>
      <c r="I377" t="s">
        <v>45</v>
      </c>
      <c r="J377">
        <f>VLOOKUP(Shoe_Sales[[#This Row],[Product]],products!$A$1:$C$9,3,0)</f>
        <v>64</v>
      </c>
      <c r="K377">
        <f>VLOOKUP(Shoe_Sales[[#This Row],[Product]],products!$A$1:$C$9,2,FALSE)</f>
        <v>112</v>
      </c>
      <c r="L377">
        <f>Shoe_Sales[[#This Row],[Cost Price]]*Shoe_Sales[[#This Row],[Quantity]]</f>
        <v>192</v>
      </c>
      <c r="M377">
        <f>Shoe_Sales[[#This Row],[Selling Price]]*Shoe_Sales[[#This Row],[Quantity]]</f>
        <v>336</v>
      </c>
      <c r="N377">
        <f>Shoe_Sales[[#This Row],[Revenue]]-Shoe_Sales[[#This Row],[Cost]]</f>
        <v>144</v>
      </c>
      <c r="O377" s="3">
        <f>Shoe_Sales[[#This Row],[Profit]]/Shoe_Sales[[#This Row],[Revenue]]</f>
        <v>0.42857142857142855</v>
      </c>
    </row>
    <row r="378" spans="1:15" x14ac:dyDescent="0.35">
      <c r="A378" s="2" t="s">
        <v>427</v>
      </c>
      <c r="B378" s="2">
        <v>46194</v>
      </c>
      <c r="C378" t="s">
        <v>39</v>
      </c>
      <c r="D378" t="s">
        <v>25</v>
      </c>
      <c r="E378" t="s">
        <v>7</v>
      </c>
      <c r="F378" t="s">
        <v>35</v>
      </c>
      <c r="G378" t="s">
        <v>9</v>
      </c>
      <c r="H378">
        <v>11</v>
      </c>
      <c r="I378" t="s">
        <v>46</v>
      </c>
      <c r="J378">
        <f>VLOOKUP(Shoe_Sales[[#This Row],[Product]],products!$A$1:$C$9,3,0)</f>
        <v>72</v>
      </c>
      <c r="K378">
        <f>VLOOKUP(Shoe_Sales[[#This Row],[Product]],products!$A$1:$C$9,2,FALSE)</f>
        <v>128</v>
      </c>
      <c r="L378">
        <f>Shoe_Sales[[#This Row],[Cost Price]]*Shoe_Sales[[#This Row],[Quantity]]</f>
        <v>792</v>
      </c>
      <c r="M378">
        <f>Shoe_Sales[[#This Row],[Selling Price]]*Shoe_Sales[[#This Row],[Quantity]]</f>
        <v>1408</v>
      </c>
      <c r="N378">
        <f>Shoe_Sales[[#This Row],[Revenue]]-Shoe_Sales[[#This Row],[Cost]]</f>
        <v>616</v>
      </c>
      <c r="O378" s="3">
        <f>Shoe_Sales[[#This Row],[Profit]]/Shoe_Sales[[#This Row],[Revenue]]</f>
        <v>0.4375</v>
      </c>
    </row>
    <row r="379" spans="1:15" x14ac:dyDescent="0.35">
      <c r="A379" s="2" t="s">
        <v>428</v>
      </c>
      <c r="B379" s="2">
        <v>46194</v>
      </c>
      <c r="C379" t="s">
        <v>39</v>
      </c>
      <c r="D379" t="s">
        <v>25</v>
      </c>
      <c r="E379" t="s">
        <v>11</v>
      </c>
      <c r="F379" t="s">
        <v>29</v>
      </c>
      <c r="G379" t="s">
        <v>34</v>
      </c>
      <c r="H379">
        <v>9</v>
      </c>
      <c r="I379" t="s">
        <v>46</v>
      </c>
      <c r="J379">
        <f>VLOOKUP(Shoe_Sales[[#This Row],[Product]],products!$A$1:$C$9,3,0)</f>
        <v>72</v>
      </c>
      <c r="K379">
        <f>VLOOKUP(Shoe_Sales[[#This Row],[Product]],products!$A$1:$C$9,2,FALSE)</f>
        <v>128</v>
      </c>
      <c r="L379">
        <f>Shoe_Sales[[#This Row],[Cost Price]]*Shoe_Sales[[#This Row],[Quantity]]</f>
        <v>648</v>
      </c>
      <c r="M379">
        <f>Shoe_Sales[[#This Row],[Selling Price]]*Shoe_Sales[[#This Row],[Quantity]]</f>
        <v>1152</v>
      </c>
      <c r="N379">
        <f>Shoe_Sales[[#This Row],[Revenue]]-Shoe_Sales[[#This Row],[Cost]]</f>
        <v>504</v>
      </c>
      <c r="O379" s="3">
        <f>Shoe_Sales[[#This Row],[Profit]]/Shoe_Sales[[#This Row],[Revenue]]</f>
        <v>0.4375</v>
      </c>
    </row>
    <row r="380" spans="1:15" x14ac:dyDescent="0.35">
      <c r="A380" s="2" t="s">
        <v>429</v>
      </c>
      <c r="B380" s="2">
        <v>46196</v>
      </c>
      <c r="C380" t="s">
        <v>27</v>
      </c>
      <c r="D380" t="s">
        <v>25</v>
      </c>
      <c r="E380" t="s">
        <v>20</v>
      </c>
      <c r="F380" t="s">
        <v>40</v>
      </c>
      <c r="G380" t="s">
        <v>9</v>
      </c>
      <c r="H380">
        <v>8</v>
      </c>
      <c r="I380" t="s">
        <v>45</v>
      </c>
      <c r="J380">
        <f>VLOOKUP(Shoe_Sales[[#This Row],[Product]],products!$A$1:$C$9,3,0)</f>
        <v>14</v>
      </c>
      <c r="K380">
        <f>VLOOKUP(Shoe_Sales[[#This Row],[Product]],products!$A$1:$C$9,2,FALSE)</f>
        <v>32</v>
      </c>
      <c r="L380">
        <f>Shoe_Sales[[#This Row],[Cost Price]]*Shoe_Sales[[#This Row],[Quantity]]</f>
        <v>112</v>
      </c>
      <c r="M380">
        <f>Shoe_Sales[[#This Row],[Selling Price]]*Shoe_Sales[[#This Row],[Quantity]]</f>
        <v>256</v>
      </c>
      <c r="N380">
        <f>Shoe_Sales[[#This Row],[Revenue]]-Shoe_Sales[[#This Row],[Cost]]</f>
        <v>144</v>
      </c>
      <c r="O380" s="3">
        <f>Shoe_Sales[[#This Row],[Profit]]/Shoe_Sales[[#This Row],[Revenue]]</f>
        <v>0.5625</v>
      </c>
    </row>
    <row r="381" spans="1:15" x14ac:dyDescent="0.35">
      <c r="A381" s="2" t="s">
        <v>430</v>
      </c>
      <c r="B381" s="2">
        <v>46196</v>
      </c>
      <c r="C381" t="s">
        <v>41</v>
      </c>
      <c r="D381" t="s">
        <v>25</v>
      </c>
      <c r="E381" t="s">
        <v>20</v>
      </c>
      <c r="F381" t="s">
        <v>29</v>
      </c>
      <c r="G381" t="s">
        <v>18</v>
      </c>
      <c r="H381">
        <v>11</v>
      </c>
      <c r="I381" t="s">
        <v>48</v>
      </c>
      <c r="J381">
        <f>VLOOKUP(Shoe_Sales[[#This Row],[Product]],products!$A$1:$C$9,3,0)</f>
        <v>39</v>
      </c>
      <c r="K381">
        <f>VLOOKUP(Shoe_Sales[[#This Row],[Product]],products!$A$1:$C$9,2,FALSE)</f>
        <v>76</v>
      </c>
      <c r="L381">
        <f>Shoe_Sales[[#This Row],[Cost Price]]*Shoe_Sales[[#This Row],[Quantity]]</f>
        <v>429</v>
      </c>
      <c r="M381">
        <f>Shoe_Sales[[#This Row],[Selling Price]]*Shoe_Sales[[#This Row],[Quantity]]</f>
        <v>836</v>
      </c>
      <c r="N381">
        <f>Shoe_Sales[[#This Row],[Revenue]]-Shoe_Sales[[#This Row],[Cost]]</f>
        <v>407</v>
      </c>
      <c r="O381" s="3">
        <f>Shoe_Sales[[#This Row],[Profit]]/Shoe_Sales[[#This Row],[Revenue]]</f>
        <v>0.48684210526315791</v>
      </c>
    </row>
    <row r="382" spans="1:15" x14ac:dyDescent="0.35">
      <c r="A382" s="2" t="s">
        <v>431</v>
      </c>
      <c r="B382" s="2">
        <v>46197</v>
      </c>
      <c r="C382" t="s">
        <v>27</v>
      </c>
      <c r="D382" t="s">
        <v>10</v>
      </c>
      <c r="E382" t="s">
        <v>16</v>
      </c>
      <c r="F382" t="s">
        <v>35</v>
      </c>
      <c r="G382" t="s">
        <v>30</v>
      </c>
      <c r="H382">
        <v>5</v>
      </c>
      <c r="I382" t="s">
        <v>48</v>
      </c>
      <c r="J382">
        <f>VLOOKUP(Shoe_Sales[[#This Row],[Product]],products!$A$1:$C$9,3,0)</f>
        <v>14</v>
      </c>
      <c r="K382">
        <f>VLOOKUP(Shoe_Sales[[#This Row],[Product]],products!$A$1:$C$9,2,FALSE)</f>
        <v>32</v>
      </c>
      <c r="L382">
        <f>Shoe_Sales[[#This Row],[Cost Price]]*Shoe_Sales[[#This Row],[Quantity]]</f>
        <v>70</v>
      </c>
      <c r="M382">
        <f>Shoe_Sales[[#This Row],[Selling Price]]*Shoe_Sales[[#This Row],[Quantity]]</f>
        <v>160</v>
      </c>
      <c r="N382">
        <f>Shoe_Sales[[#This Row],[Revenue]]-Shoe_Sales[[#This Row],[Cost]]</f>
        <v>90</v>
      </c>
      <c r="O382" s="3">
        <f>Shoe_Sales[[#This Row],[Profit]]/Shoe_Sales[[#This Row],[Revenue]]</f>
        <v>0.5625</v>
      </c>
    </row>
    <row r="383" spans="1:15" x14ac:dyDescent="0.35">
      <c r="A383" s="2" t="s">
        <v>432</v>
      </c>
      <c r="B383" s="2">
        <v>46197</v>
      </c>
      <c r="C383" t="s">
        <v>22</v>
      </c>
      <c r="D383" t="s">
        <v>31</v>
      </c>
      <c r="E383" t="s">
        <v>11</v>
      </c>
      <c r="F383" t="s">
        <v>8</v>
      </c>
      <c r="G383" t="s">
        <v>18</v>
      </c>
      <c r="H383">
        <v>12</v>
      </c>
      <c r="I383" t="s">
        <v>46</v>
      </c>
      <c r="J383">
        <f>VLOOKUP(Shoe_Sales[[#This Row],[Product]],products!$A$1:$C$9,3,0)</f>
        <v>58</v>
      </c>
      <c r="K383">
        <f>VLOOKUP(Shoe_Sales[[#This Row],[Product]],products!$A$1:$C$9,2,FALSE)</f>
        <v>105</v>
      </c>
      <c r="L383">
        <f>Shoe_Sales[[#This Row],[Cost Price]]*Shoe_Sales[[#This Row],[Quantity]]</f>
        <v>696</v>
      </c>
      <c r="M383">
        <f>Shoe_Sales[[#This Row],[Selling Price]]*Shoe_Sales[[#This Row],[Quantity]]</f>
        <v>1260</v>
      </c>
      <c r="N383">
        <f>Shoe_Sales[[#This Row],[Revenue]]-Shoe_Sales[[#This Row],[Cost]]</f>
        <v>564</v>
      </c>
      <c r="O383" s="3">
        <f>Shoe_Sales[[#This Row],[Profit]]/Shoe_Sales[[#This Row],[Revenue]]</f>
        <v>0.44761904761904764</v>
      </c>
    </row>
    <row r="384" spans="1:15" x14ac:dyDescent="0.35">
      <c r="A384" s="2" t="s">
        <v>433</v>
      </c>
      <c r="B384" s="2">
        <v>46197</v>
      </c>
      <c r="C384" t="s">
        <v>42</v>
      </c>
      <c r="D384" t="s">
        <v>31</v>
      </c>
      <c r="E384" t="s">
        <v>11</v>
      </c>
      <c r="F384" t="s">
        <v>17</v>
      </c>
      <c r="G384" t="s">
        <v>12</v>
      </c>
      <c r="H384">
        <v>13</v>
      </c>
      <c r="I384" t="s">
        <v>46</v>
      </c>
      <c r="J384">
        <f>VLOOKUP(Shoe_Sales[[#This Row],[Product]],products!$A$1:$C$9,3,0)</f>
        <v>47</v>
      </c>
      <c r="K384">
        <f>VLOOKUP(Shoe_Sales[[#This Row],[Product]],products!$A$1:$C$9,2,FALSE)</f>
        <v>89</v>
      </c>
      <c r="L384">
        <f>Shoe_Sales[[#This Row],[Cost Price]]*Shoe_Sales[[#This Row],[Quantity]]</f>
        <v>611</v>
      </c>
      <c r="M384">
        <f>Shoe_Sales[[#This Row],[Selling Price]]*Shoe_Sales[[#This Row],[Quantity]]</f>
        <v>1157</v>
      </c>
      <c r="N384">
        <f>Shoe_Sales[[#This Row],[Revenue]]-Shoe_Sales[[#This Row],[Cost]]</f>
        <v>546</v>
      </c>
      <c r="O384" s="3">
        <f>Shoe_Sales[[#This Row],[Profit]]/Shoe_Sales[[#This Row],[Revenue]]</f>
        <v>0.47191011235955055</v>
      </c>
    </row>
    <row r="385" spans="1:15" x14ac:dyDescent="0.35">
      <c r="A385" s="2" t="s">
        <v>434</v>
      </c>
      <c r="B385" s="2">
        <v>46197</v>
      </c>
      <c r="C385" t="s">
        <v>22</v>
      </c>
      <c r="D385" t="s">
        <v>25</v>
      </c>
      <c r="E385" t="s">
        <v>20</v>
      </c>
      <c r="F385" t="s">
        <v>17</v>
      </c>
      <c r="G385" t="s">
        <v>30</v>
      </c>
      <c r="H385">
        <v>8</v>
      </c>
      <c r="I385" t="s">
        <v>45</v>
      </c>
      <c r="J385">
        <f>VLOOKUP(Shoe_Sales[[#This Row],[Product]],products!$A$1:$C$9,3,0)</f>
        <v>58</v>
      </c>
      <c r="K385">
        <f>VLOOKUP(Shoe_Sales[[#This Row],[Product]],products!$A$1:$C$9,2,FALSE)</f>
        <v>105</v>
      </c>
      <c r="L385">
        <f>Shoe_Sales[[#This Row],[Cost Price]]*Shoe_Sales[[#This Row],[Quantity]]</f>
        <v>464</v>
      </c>
      <c r="M385">
        <f>Shoe_Sales[[#This Row],[Selling Price]]*Shoe_Sales[[#This Row],[Quantity]]</f>
        <v>840</v>
      </c>
      <c r="N385">
        <f>Shoe_Sales[[#This Row],[Revenue]]-Shoe_Sales[[#This Row],[Cost]]</f>
        <v>376</v>
      </c>
      <c r="O385" s="3">
        <f>Shoe_Sales[[#This Row],[Profit]]/Shoe_Sales[[#This Row],[Revenue]]</f>
        <v>0.44761904761904764</v>
      </c>
    </row>
    <row r="386" spans="1:15" x14ac:dyDescent="0.35">
      <c r="A386" s="2" t="s">
        <v>435</v>
      </c>
      <c r="B386" s="2">
        <v>46198</v>
      </c>
      <c r="C386" t="s">
        <v>33</v>
      </c>
      <c r="D386" t="s">
        <v>31</v>
      </c>
      <c r="E386" t="s">
        <v>7</v>
      </c>
      <c r="F386" t="s">
        <v>17</v>
      </c>
      <c r="G386" t="s">
        <v>12</v>
      </c>
      <c r="H386">
        <v>8</v>
      </c>
      <c r="I386" t="s">
        <v>45</v>
      </c>
      <c r="J386">
        <f>VLOOKUP(Shoe_Sales[[#This Row],[Product]],products!$A$1:$C$9,3,0)</f>
        <v>28</v>
      </c>
      <c r="K386">
        <f>VLOOKUP(Shoe_Sales[[#This Row],[Product]],products!$A$1:$C$9,2,FALSE)</f>
        <v>54</v>
      </c>
      <c r="L386">
        <f>Shoe_Sales[[#This Row],[Cost Price]]*Shoe_Sales[[#This Row],[Quantity]]</f>
        <v>224</v>
      </c>
      <c r="M386">
        <f>Shoe_Sales[[#This Row],[Selling Price]]*Shoe_Sales[[#This Row],[Quantity]]</f>
        <v>432</v>
      </c>
      <c r="N386">
        <f>Shoe_Sales[[#This Row],[Revenue]]-Shoe_Sales[[#This Row],[Cost]]</f>
        <v>208</v>
      </c>
      <c r="O386" s="3">
        <f>Shoe_Sales[[#This Row],[Profit]]/Shoe_Sales[[#This Row],[Revenue]]</f>
        <v>0.48148148148148145</v>
      </c>
    </row>
    <row r="387" spans="1:15" x14ac:dyDescent="0.35">
      <c r="A387" s="2" t="s">
        <v>436</v>
      </c>
      <c r="B387" s="2">
        <v>46198</v>
      </c>
      <c r="C387" t="s">
        <v>38</v>
      </c>
      <c r="D387" t="s">
        <v>10</v>
      </c>
      <c r="E387" t="s">
        <v>11</v>
      </c>
      <c r="F387" t="s">
        <v>29</v>
      </c>
      <c r="G387" t="s">
        <v>37</v>
      </c>
      <c r="H387">
        <v>14</v>
      </c>
      <c r="I387" t="s">
        <v>47</v>
      </c>
      <c r="J387">
        <f>VLOOKUP(Shoe_Sales[[#This Row],[Product]],products!$A$1:$C$9,3,0)</f>
        <v>64</v>
      </c>
      <c r="K387">
        <f>VLOOKUP(Shoe_Sales[[#This Row],[Product]],products!$A$1:$C$9,2,FALSE)</f>
        <v>112</v>
      </c>
      <c r="L387">
        <f>Shoe_Sales[[#This Row],[Cost Price]]*Shoe_Sales[[#This Row],[Quantity]]</f>
        <v>896</v>
      </c>
      <c r="M387">
        <f>Shoe_Sales[[#This Row],[Selling Price]]*Shoe_Sales[[#This Row],[Quantity]]</f>
        <v>1568</v>
      </c>
      <c r="N387">
        <f>Shoe_Sales[[#This Row],[Revenue]]-Shoe_Sales[[#This Row],[Cost]]</f>
        <v>672</v>
      </c>
      <c r="O387" s="3">
        <f>Shoe_Sales[[#This Row],[Profit]]/Shoe_Sales[[#This Row],[Revenue]]</f>
        <v>0.42857142857142855</v>
      </c>
    </row>
    <row r="388" spans="1:15" x14ac:dyDescent="0.35">
      <c r="A388" s="2" t="s">
        <v>437</v>
      </c>
      <c r="B388" s="2">
        <v>46198</v>
      </c>
      <c r="C388" t="s">
        <v>27</v>
      </c>
      <c r="D388" t="s">
        <v>10</v>
      </c>
      <c r="E388" t="s">
        <v>11</v>
      </c>
      <c r="F388" t="s">
        <v>8</v>
      </c>
      <c r="G388" t="s">
        <v>18</v>
      </c>
      <c r="H388">
        <v>8</v>
      </c>
      <c r="I388" t="s">
        <v>46</v>
      </c>
      <c r="J388">
        <f>VLOOKUP(Shoe_Sales[[#This Row],[Product]],products!$A$1:$C$9,3,0)</f>
        <v>14</v>
      </c>
      <c r="K388">
        <f>VLOOKUP(Shoe_Sales[[#This Row],[Product]],products!$A$1:$C$9,2,FALSE)</f>
        <v>32</v>
      </c>
      <c r="L388">
        <f>Shoe_Sales[[#This Row],[Cost Price]]*Shoe_Sales[[#This Row],[Quantity]]</f>
        <v>112</v>
      </c>
      <c r="M388">
        <f>Shoe_Sales[[#This Row],[Selling Price]]*Shoe_Sales[[#This Row],[Quantity]]</f>
        <v>256</v>
      </c>
      <c r="N388">
        <f>Shoe_Sales[[#This Row],[Revenue]]-Shoe_Sales[[#This Row],[Cost]]</f>
        <v>144</v>
      </c>
      <c r="O388" s="3">
        <f>Shoe_Sales[[#This Row],[Profit]]/Shoe_Sales[[#This Row],[Revenue]]</f>
        <v>0.5625</v>
      </c>
    </row>
    <row r="389" spans="1:15" x14ac:dyDescent="0.35">
      <c r="A389" s="2" t="s">
        <v>438</v>
      </c>
      <c r="B389" s="2">
        <v>46199</v>
      </c>
      <c r="C389" t="s">
        <v>41</v>
      </c>
      <c r="D389" t="s">
        <v>10</v>
      </c>
      <c r="E389" t="s">
        <v>16</v>
      </c>
      <c r="F389" t="s">
        <v>35</v>
      </c>
      <c r="G389" t="s">
        <v>9</v>
      </c>
      <c r="H389">
        <v>4</v>
      </c>
      <c r="I389" t="s">
        <v>45</v>
      </c>
      <c r="J389">
        <f>VLOOKUP(Shoe_Sales[[#This Row],[Product]],products!$A$1:$C$9,3,0)</f>
        <v>39</v>
      </c>
      <c r="K389">
        <f>VLOOKUP(Shoe_Sales[[#This Row],[Product]],products!$A$1:$C$9,2,FALSE)</f>
        <v>76</v>
      </c>
      <c r="L389">
        <f>Shoe_Sales[[#This Row],[Cost Price]]*Shoe_Sales[[#This Row],[Quantity]]</f>
        <v>156</v>
      </c>
      <c r="M389">
        <f>Shoe_Sales[[#This Row],[Selling Price]]*Shoe_Sales[[#This Row],[Quantity]]</f>
        <v>304</v>
      </c>
      <c r="N389">
        <f>Shoe_Sales[[#This Row],[Revenue]]-Shoe_Sales[[#This Row],[Cost]]</f>
        <v>148</v>
      </c>
      <c r="O389" s="3">
        <f>Shoe_Sales[[#This Row],[Profit]]/Shoe_Sales[[#This Row],[Revenue]]</f>
        <v>0.48684210526315791</v>
      </c>
    </row>
    <row r="390" spans="1:15" x14ac:dyDescent="0.35">
      <c r="A390" s="2" t="s">
        <v>439</v>
      </c>
      <c r="B390" s="2">
        <v>46199</v>
      </c>
      <c r="C390" t="s">
        <v>22</v>
      </c>
      <c r="D390" t="s">
        <v>25</v>
      </c>
      <c r="E390" t="s">
        <v>14</v>
      </c>
      <c r="F390" t="s">
        <v>17</v>
      </c>
      <c r="G390" t="s">
        <v>36</v>
      </c>
      <c r="H390">
        <v>7</v>
      </c>
      <c r="I390" t="s">
        <v>46</v>
      </c>
      <c r="J390">
        <f>VLOOKUP(Shoe_Sales[[#This Row],[Product]],products!$A$1:$C$9,3,0)</f>
        <v>58</v>
      </c>
      <c r="K390">
        <f>VLOOKUP(Shoe_Sales[[#This Row],[Product]],products!$A$1:$C$9,2,FALSE)</f>
        <v>105</v>
      </c>
      <c r="L390">
        <f>Shoe_Sales[[#This Row],[Cost Price]]*Shoe_Sales[[#This Row],[Quantity]]</f>
        <v>406</v>
      </c>
      <c r="M390">
        <f>Shoe_Sales[[#This Row],[Selling Price]]*Shoe_Sales[[#This Row],[Quantity]]</f>
        <v>735</v>
      </c>
      <c r="N390">
        <f>Shoe_Sales[[#This Row],[Revenue]]-Shoe_Sales[[#This Row],[Cost]]</f>
        <v>329</v>
      </c>
      <c r="O390" s="3">
        <f>Shoe_Sales[[#This Row],[Profit]]/Shoe_Sales[[#This Row],[Revenue]]</f>
        <v>0.44761904761904764</v>
      </c>
    </row>
    <row r="391" spans="1:15" x14ac:dyDescent="0.35">
      <c r="A391" s="2" t="s">
        <v>440</v>
      </c>
      <c r="B391" s="2">
        <v>46199</v>
      </c>
      <c r="C391" t="s">
        <v>33</v>
      </c>
      <c r="D391" t="s">
        <v>25</v>
      </c>
      <c r="E391" t="s">
        <v>7</v>
      </c>
      <c r="F391" t="s">
        <v>40</v>
      </c>
      <c r="G391" t="s">
        <v>12</v>
      </c>
      <c r="H391">
        <v>1</v>
      </c>
      <c r="I391" t="s">
        <v>46</v>
      </c>
      <c r="J391">
        <f>VLOOKUP(Shoe_Sales[[#This Row],[Product]],products!$A$1:$C$9,3,0)</f>
        <v>28</v>
      </c>
      <c r="K391">
        <f>VLOOKUP(Shoe_Sales[[#This Row],[Product]],products!$A$1:$C$9,2,FALSE)</f>
        <v>54</v>
      </c>
      <c r="L391">
        <f>Shoe_Sales[[#This Row],[Cost Price]]*Shoe_Sales[[#This Row],[Quantity]]</f>
        <v>28</v>
      </c>
      <c r="M391">
        <f>Shoe_Sales[[#This Row],[Selling Price]]*Shoe_Sales[[#This Row],[Quantity]]</f>
        <v>54</v>
      </c>
      <c r="N391">
        <f>Shoe_Sales[[#This Row],[Revenue]]-Shoe_Sales[[#This Row],[Cost]]</f>
        <v>26</v>
      </c>
      <c r="O391" s="3">
        <f>Shoe_Sales[[#This Row],[Profit]]/Shoe_Sales[[#This Row],[Revenue]]</f>
        <v>0.48148148148148145</v>
      </c>
    </row>
    <row r="392" spans="1:15" x14ac:dyDescent="0.35">
      <c r="A392" s="2" t="s">
        <v>441</v>
      </c>
      <c r="B392" s="2">
        <v>46199</v>
      </c>
      <c r="C392" t="s">
        <v>13</v>
      </c>
      <c r="D392" t="s">
        <v>25</v>
      </c>
      <c r="E392" t="s">
        <v>14</v>
      </c>
      <c r="F392" t="s">
        <v>17</v>
      </c>
      <c r="G392" t="s">
        <v>12</v>
      </c>
      <c r="H392">
        <v>6</v>
      </c>
      <c r="I392" t="s">
        <v>46</v>
      </c>
      <c r="J392">
        <f>VLOOKUP(Shoe_Sales[[#This Row],[Product]],products!$A$1:$C$9,3,0)</f>
        <v>67</v>
      </c>
      <c r="K392">
        <f>VLOOKUP(Shoe_Sales[[#This Row],[Product]],products!$A$1:$C$9,2,FALSE)</f>
        <v>119</v>
      </c>
      <c r="L392">
        <f>Shoe_Sales[[#This Row],[Cost Price]]*Shoe_Sales[[#This Row],[Quantity]]</f>
        <v>402</v>
      </c>
      <c r="M392">
        <f>Shoe_Sales[[#This Row],[Selling Price]]*Shoe_Sales[[#This Row],[Quantity]]</f>
        <v>714</v>
      </c>
      <c r="N392">
        <f>Shoe_Sales[[#This Row],[Revenue]]-Shoe_Sales[[#This Row],[Cost]]</f>
        <v>312</v>
      </c>
      <c r="O392" s="3">
        <f>Shoe_Sales[[#This Row],[Profit]]/Shoe_Sales[[#This Row],[Revenue]]</f>
        <v>0.43697478991596639</v>
      </c>
    </row>
    <row r="393" spans="1:15" x14ac:dyDescent="0.35">
      <c r="A393" s="2" t="s">
        <v>442</v>
      </c>
      <c r="B393" s="2">
        <v>46199</v>
      </c>
      <c r="C393" t="s">
        <v>39</v>
      </c>
      <c r="D393" t="s">
        <v>25</v>
      </c>
      <c r="E393" t="s">
        <v>16</v>
      </c>
      <c r="F393" t="s">
        <v>17</v>
      </c>
      <c r="G393" t="s">
        <v>9</v>
      </c>
      <c r="H393">
        <v>8</v>
      </c>
      <c r="I393" t="s">
        <v>47</v>
      </c>
      <c r="J393">
        <f>VLOOKUP(Shoe_Sales[[#This Row],[Product]],products!$A$1:$C$9,3,0)</f>
        <v>72</v>
      </c>
      <c r="K393">
        <f>VLOOKUP(Shoe_Sales[[#This Row],[Product]],products!$A$1:$C$9,2,FALSE)</f>
        <v>128</v>
      </c>
      <c r="L393">
        <f>Shoe_Sales[[#This Row],[Cost Price]]*Shoe_Sales[[#This Row],[Quantity]]</f>
        <v>576</v>
      </c>
      <c r="M393">
        <f>Shoe_Sales[[#This Row],[Selling Price]]*Shoe_Sales[[#This Row],[Quantity]]</f>
        <v>1024</v>
      </c>
      <c r="N393">
        <f>Shoe_Sales[[#This Row],[Revenue]]-Shoe_Sales[[#This Row],[Cost]]</f>
        <v>448</v>
      </c>
      <c r="O393" s="3">
        <f>Shoe_Sales[[#This Row],[Profit]]/Shoe_Sales[[#This Row],[Revenue]]</f>
        <v>0.4375</v>
      </c>
    </row>
    <row r="394" spans="1:15" x14ac:dyDescent="0.35">
      <c r="A394" s="2" t="s">
        <v>443</v>
      </c>
      <c r="B394" s="2">
        <v>46199</v>
      </c>
      <c r="C394" t="s">
        <v>38</v>
      </c>
      <c r="D394" t="s">
        <v>19</v>
      </c>
      <c r="E394" t="s">
        <v>11</v>
      </c>
      <c r="F394" t="s">
        <v>40</v>
      </c>
      <c r="G394" t="s">
        <v>24</v>
      </c>
      <c r="H394">
        <v>8</v>
      </c>
      <c r="I394" t="s">
        <v>45</v>
      </c>
      <c r="J394">
        <f>VLOOKUP(Shoe_Sales[[#This Row],[Product]],products!$A$1:$C$9,3,0)</f>
        <v>64</v>
      </c>
      <c r="K394">
        <f>VLOOKUP(Shoe_Sales[[#This Row],[Product]],products!$A$1:$C$9,2,FALSE)</f>
        <v>112</v>
      </c>
      <c r="L394">
        <f>Shoe_Sales[[#This Row],[Cost Price]]*Shoe_Sales[[#This Row],[Quantity]]</f>
        <v>512</v>
      </c>
      <c r="M394">
        <f>Shoe_Sales[[#This Row],[Selling Price]]*Shoe_Sales[[#This Row],[Quantity]]</f>
        <v>896</v>
      </c>
      <c r="N394">
        <f>Shoe_Sales[[#This Row],[Revenue]]-Shoe_Sales[[#This Row],[Cost]]</f>
        <v>384</v>
      </c>
      <c r="O394" s="3">
        <f>Shoe_Sales[[#This Row],[Profit]]/Shoe_Sales[[#This Row],[Revenue]]</f>
        <v>0.42857142857142855</v>
      </c>
    </row>
    <row r="395" spans="1:15" x14ac:dyDescent="0.35">
      <c r="A395" s="2" t="s">
        <v>444</v>
      </c>
      <c r="B395" s="2">
        <v>46200</v>
      </c>
      <c r="C395" t="s">
        <v>38</v>
      </c>
      <c r="D395" t="s">
        <v>25</v>
      </c>
      <c r="E395" t="s">
        <v>11</v>
      </c>
      <c r="F395" t="s">
        <v>17</v>
      </c>
      <c r="G395" t="s">
        <v>32</v>
      </c>
      <c r="H395">
        <v>5</v>
      </c>
      <c r="I395" t="s">
        <v>47</v>
      </c>
      <c r="J395">
        <f>VLOOKUP(Shoe_Sales[[#This Row],[Product]],products!$A$1:$C$9,3,0)</f>
        <v>64</v>
      </c>
      <c r="K395">
        <f>VLOOKUP(Shoe_Sales[[#This Row],[Product]],products!$A$1:$C$9,2,FALSE)</f>
        <v>112</v>
      </c>
      <c r="L395">
        <f>Shoe_Sales[[#This Row],[Cost Price]]*Shoe_Sales[[#This Row],[Quantity]]</f>
        <v>320</v>
      </c>
      <c r="M395">
        <f>Shoe_Sales[[#This Row],[Selling Price]]*Shoe_Sales[[#This Row],[Quantity]]</f>
        <v>560</v>
      </c>
      <c r="N395">
        <f>Shoe_Sales[[#This Row],[Revenue]]-Shoe_Sales[[#This Row],[Cost]]</f>
        <v>240</v>
      </c>
      <c r="O395" s="3">
        <f>Shoe_Sales[[#This Row],[Profit]]/Shoe_Sales[[#This Row],[Revenue]]</f>
        <v>0.42857142857142855</v>
      </c>
    </row>
    <row r="396" spans="1:15" x14ac:dyDescent="0.35">
      <c r="A396" s="2" t="s">
        <v>445</v>
      </c>
      <c r="B396" s="2">
        <v>46200</v>
      </c>
      <c r="C396" t="s">
        <v>42</v>
      </c>
      <c r="D396" t="s">
        <v>19</v>
      </c>
      <c r="E396" t="s">
        <v>16</v>
      </c>
      <c r="F396" t="s">
        <v>29</v>
      </c>
      <c r="G396" t="s">
        <v>24</v>
      </c>
      <c r="H396">
        <v>12</v>
      </c>
      <c r="I396" t="s">
        <v>47</v>
      </c>
      <c r="J396">
        <f>VLOOKUP(Shoe_Sales[[#This Row],[Product]],products!$A$1:$C$9,3,0)</f>
        <v>47</v>
      </c>
      <c r="K396">
        <f>VLOOKUP(Shoe_Sales[[#This Row],[Product]],products!$A$1:$C$9,2,FALSE)</f>
        <v>89</v>
      </c>
      <c r="L396">
        <f>Shoe_Sales[[#This Row],[Cost Price]]*Shoe_Sales[[#This Row],[Quantity]]</f>
        <v>564</v>
      </c>
      <c r="M396">
        <f>Shoe_Sales[[#This Row],[Selling Price]]*Shoe_Sales[[#This Row],[Quantity]]</f>
        <v>1068</v>
      </c>
      <c r="N396">
        <f>Shoe_Sales[[#This Row],[Revenue]]-Shoe_Sales[[#This Row],[Cost]]</f>
        <v>504</v>
      </c>
      <c r="O396" s="3">
        <f>Shoe_Sales[[#This Row],[Profit]]/Shoe_Sales[[#This Row],[Revenue]]</f>
        <v>0.47191011235955055</v>
      </c>
    </row>
    <row r="397" spans="1:15" x14ac:dyDescent="0.35">
      <c r="A397" s="2" t="s">
        <v>446</v>
      </c>
      <c r="B397" s="2">
        <v>46200</v>
      </c>
      <c r="C397" t="s">
        <v>41</v>
      </c>
      <c r="D397" t="s">
        <v>19</v>
      </c>
      <c r="E397" t="s">
        <v>16</v>
      </c>
      <c r="F397" t="s">
        <v>17</v>
      </c>
      <c r="G397" t="s">
        <v>23</v>
      </c>
      <c r="H397">
        <v>1</v>
      </c>
      <c r="I397" t="s">
        <v>48</v>
      </c>
      <c r="J397">
        <f>VLOOKUP(Shoe_Sales[[#This Row],[Product]],products!$A$1:$C$9,3,0)</f>
        <v>39</v>
      </c>
      <c r="K397">
        <f>VLOOKUP(Shoe_Sales[[#This Row],[Product]],products!$A$1:$C$9,2,FALSE)</f>
        <v>76</v>
      </c>
      <c r="L397">
        <f>Shoe_Sales[[#This Row],[Cost Price]]*Shoe_Sales[[#This Row],[Quantity]]</f>
        <v>39</v>
      </c>
      <c r="M397">
        <f>Shoe_Sales[[#This Row],[Selling Price]]*Shoe_Sales[[#This Row],[Quantity]]</f>
        <v>76</v>
      </c>
      <c r="N397">
        <f>Shoe_Sales[[#This Row],[Revenue]]-Shoe_Sales[[#This Row],[Cost]]</f>
        <v>37</v>
      </c>
      <c r="O397" s="3">
        <f>Shoe_Sales[[#This Row],[Profit]]/Shoe_Sales[[#This Row],[Revenue]]</f>
        <v>0.48684210526315791</v>
      </c>
    </row>
    <row r="398" spans="1:15" x14ac:dyDescent="0.35">
      <c r="A398" s="2" t="s">
        <v>447</v>
      </c>
      <c r="B398" s="2">
        <v>46200</v>
      </c>
      <c r="C398" t="s">
        <v>39</v>
      </c>
      <c r="D398" t="s">
        <v>10</v>
      </c>
      <c r="E398" t="s">
        <v>20</v>
      </c>
      <c r="F398" t="s">
        <v>8</v>
      </c>
      <c r="G398" t="s">
        <v>24</v>
      </c>
      <c r="H398">
        <v>15</v>
      </c>
      <c r="I398" t="s">
        <v>47</v>
      </c>
      <c r="J398">
        <f>VLOOKUP(Shoe_Sales[[#This Row],[Product]],products!$A$1:$C$9,3,0)</f>
        <v>72</v>
      </c>
      <c r="K398">
        <f>VLOOKUP(Shoe_Sales[[#This Row],[Product]],products!$A$1:$C$9,2,FALSE)</f>
        <v>128</v>
      </c>
      <c r="L398">
        <f>Shoe_Sales[[#This Row],[Cost Price]]*Shoe_Sales[[#This Row],[Quantity]]</f>
        <v>1080</v>
      </c>
      <c r="M398">
        <f>Shoe_Sales[[#This Row],[Selling Price]]*Shoe_Sales[[#This Row],[Quantity]]</f>
        <v>1920</v>
      </c>
      <c r="N398">
        <f>Shoe_Sales[[#This Row],[Revenue]]-Shoe_Sales[[#This Row],[Cost]]</f>
        <v>840</v>
      </c>
      <c r="O398" s="3">
        <f>Shoe_Sales[[#This Row],[Profit]]/Shoe_Sales[[#This Row],[Revenue]]</f>
        <v>0.4375</v>
      </c>
    </row>
    <row r="399" spans="1:15" x14ac:dyDescent="0.35">
      <c r="A399" s="2" t="s">
        <v>448</v>
      </c>
      <c r="B399" s="2">
        <v>46201</v>
      </c>
      <c r="C399" t="s">
        <v>41</v>
      </c>
      <c r="D399" t="s">
        <v>25</v>
      </c>
      <c r="E399" t="s">
        <v>20</v>
      </c>
      <c r="F399" t="s">
        <v>17</v>
      </c>
      <c r="G399" t="s">
        <v>32</v>
      </c>
      <c r="H399">
        <v>3</v>
      </c>
      <c r="I399" t="s">
        <v>46</v>
      </c>
      <c r="J399">
        <f>VLOOKUP(Shoe_Sales[[#This Row],[Product]],products!$A$1:$C$9,3,0)</f>
        <v>39</v>
      </c>
      <c r="K399">
        <f>VLOOKUP(Shoe_Sales[[#This Row],[Product]],products!$A$1:$C$9,2,FALSE)</f>
        <v>76</v>
      </c>
      <c r="L399">
        <f>Shoe_Sales[[#This Row],[Cost Price]]*Shoe_Sales[[#This Row],[Quantity]]</f>
        <v>117</v>
      </c>
      <c r="M399">
        <f>Shoe_Sales[[#This Row],[Selling Price]]*Shoe_Sales[[#This Row],[Quantity]]</f>
        <v>228</v>
      </c>
      <c r="N399">
        <f>Shoe_Sales[[#This Row],[Revenue]]-Shoe_Sales[[#This Row],[Cost]]</f>
        <v>111</v>
      </c>
      <c r="O399" s="3">
        <f>Shoe_Sales[[#This Row],[Profit]]/Shoe_Sales[[#This Row],[Revenue]]</f>
        <v>0.48684210526315791</v>
      </c>
    </row>
    <row r="400" spans="1:15" x14ac:dyDescent="0.35">
      <c r="A400" s="2" t="s">
        <v>449</v>
      </c>
      <c r="B400" s="2">
        <v>46201</v>
      </c>
      <c r="C400" t="s">
        <v>13</v>
      </c>
      <c r="D400" t="s">
        <v>10</v>
      </c>
      <c r="E400" t="s">
        <v>20</v>
      </c>
      <c r="F400" t="s">
        <v>35</v>
      </c>
      <c r="G400" t="s">
        <v>21</v>
      </c>
      <c r="H400">
        <v>8</v>
      </c>
      <c r="I400" t="s">
        <v>48</v>
      </c>
      <c r="J400">
        <f>VLOOKUP(Shoe_Sales[[#This Row],[Product]],products!$A$1:$C$9,3,0)</f>
        <v>67</v>
      </c>
      <c r="K400">
        <f>VLOOKUP(Shoe_Sales[[#This Row],[Product]],products!$A$1:$C$9,2,FALSE)</f>
        <v>119</v>
      </c>
      <c r="L400">
        <f>Shoe_Sales[[#This Row],[Cost Price]]*Shoe_Sales[[#This Row],[Quantity]]</f>
        <v>536</v>
      </c>
      <c r="M400">
        <f>Shoe_Sales[[#This Row],[Selling Price]]*Shoe_Sales[[#This Row],[Quantity]]</f>
        <v>952</v>
      </c>
      <c r="N400">
        <f>Shoe_Sales[[#This Row],[Revenue]]-Shoe_Sales[[#This Row],[Cost]]</f>
        <v>416</v>
      </c>
      <c r="O400" s="3">
        <f>Shoe_Sales[[#This Row],[Profit]]/Shoe_Sales[[#This Row],[Revenue]]</f>
        <v>0.43697478991596639</v>
      </c>
    </row>
    <row r="401" spans="1:15" x14ac:dyDescent="0.35">
      <c r="A401" s="2" t="s">
        <v>450</v>
      </c>
      <c r="B401" s="2">
        <v>46201</v>
      </c>
      <c r="C401" t="s">
        <v>41</v>
      </c>
      <c r="D401" t="s">
        <v>19</v>
      </c>
      <c r="E401" t="s">
        <v>16</v>
      </c>
      <c r="F401" t="s">
        <v>35</v>
      </c>
      <c r="G401" t="s">
        <v>12</v>
      </c>
      <c r="H401">
        <v>8</v>
      </c>
      <c r="I401" t="s">
        <v>46</v>
      </c>
      <c r="J401">
        <f>VLOOKUP(Shoe_Sales[[#This Row],[Product]],products!$A$1:$C$9,3,0)</f>
        <v>39</v>
      </c>
      <c r="K401">
        <f>VLOOKUP(Shoe_Sales[[#This Row],[Product]],products!$A$1:$C$9,2,FALSE)</f>
        <v>76</v>
      </c>
      <c r="L401">
        <f>Shoe_Sales[[#This Row],[Cost Price]]*Shoe_Sales[[#This Row],[Quantity]]</f>
        <v>312</v>
      </c>
      <c r="M401">
        <f>Shoe_Sales[[#This Row],[Selling Price]]*Shoe_Sales[[#This Row],[Quantity]]</f>
        <v>608</v>
      </c>
      <c r="N401">
        <f>Shoe_Sales[[#This Row],[Revenue]]-Shoe_Sales[[#This Row],[Cost]]</f>
        <v>296</v>
      </c>
      <c r="O401" s="3">
        <f>Shoe_Sales[[#This Row],[Profit]]/Shoe_Sales[[#This Row],[Revenue]]</f>
        <v>0.48684210526315791</v>
      </c>
    </row>
    <row r="402" spans="1:15" x14ac:dyDescent="0.35">
      <c r="A402" s="2" t="s">
        <v>451</v>
      </c>
      <c r="B402" s="2">
        <v>46202</v>
      </c>
      <c r="C402" t="s">
        <v>42</v>
      </c>
      <c r="D402" t="s">
        <v>10</v>
      </c>
      <c r="E402" t="s">
        <v>16</v>
      </c>
      <c r="F402" t="s">
        <v>8</v>
      </c>
      <c r="G402" t="s">
        <v>18</v>
      </c>
      <c r="H402">
        <v>4</v>
      </c>
      <c r="I402" t="s">
        <v>46</v>
      </c>
      <c r="J402">
        <f>VLOOKUP(Shoe_Sales[[#This Row],[Product]],products!$A$1:$C$9,3,0)</f>
        <v>47</v>
      </c>
      <c r="K402">
        <f>VLOOKUP(Shoe_Sales[[#This Row],[Product]],products!$A$1:$C$9,2,FALSE)</f>
        <v>89</v>
      </c>
      <c r="L402">
        <f>Shoe_Sales[[#This Row],[Cost Price]]*Shoe_Sales[[#This Row],[Quantity]]</f>
        <v>188</v>
      </c>
      <c r="M402">
        <f>Shoe_Sales[[#This Row],[Selling Price]]*Shoe_Sales[[#This Row],[Quantity]]</f>
        <v>356</v>
      </c>
      <c r="N402">
        <f>Shoe_Sales[[#This Row],[Revenue]]-Shoe_Sales[[#This Row],[Cost]]</f>
        <v>168</v>
      </c>
      <c r="O402" s="3">
        <f>Shoe_Sales[[#This Row],[Profit]]/Shoe_Sales[[#This Row],[Revenue]]</f>
        <v>0.47191011235955055</v>
      </c>
    </row>
    <row r="403" spans="1:15" x14ac:dyDescent="0.35">
      <c r="A403" s="2" t="s">
        <v>452</v>
      </c>
      <c r="B403" s="2">
        <v>46203</v>
      </c>
      <c r="C403" t="s">
        <v>13</v>
      </c>
      <c r="D403" t="s">
        <v>31</v>
      </c>
      <c r="E403" t="s">
        <v>14</v>
      </c>
      <c r="F403" t="s">
        <v>8</v>
      </c>
      <c r="G403" t="s">
        <v>21</v>
      </c>
      <c r="H403">
        <v>6</v>
      </c>
      <c r="I403" t="s">
        <v>47</v>
      </c>
      <c r="J403">
        <f>VLOOKUP(Shoe_Sales[[#This Row],[Product]],products!$A$1:$C$9,3,0)</f>
        <v>67</v>
      </c>
      <c r="K403">
        <f>VLOOKUP(Shoe_Sales[[#This Row],[Product]],products!$A$1:$C$9,2,FALSE)</f>
        <v>119</v>
      </c>
      <c r="L403">
        <f>Shoe_Sales[[#This Row],[Cost Price]]*Shoe_Sales[[#This Row],[Quantity]]</f>
        <v>402</v>
      </c>
      <c r="M403">
        <f>Shoe_Sales[[#This Row],[Selling Price]]*Shoe_Sales[[#This Row],[Quantity]]</f>
        <v>714</v>
      </c>
      <c r="N403">
        <f>Shoe_Sales[[#This Row],[Revenue]]-Shoe_Sales[[#This Row],[Cost]]</f>
        <v>312</v>
      </c>
      <c r="O403" s="3">
        <f>Shoe_Sales[[#This Row],[Profit]]/Shoe_Sales[[#This Row],[Revenue]]</f>
        <v>0.43697478991596639</v>
      </c>
    </row>
    <row r="404" spans="1:15" x14ac:dyDescent="0.35">
      <c r="A404" s="2" t="s">
        <v>453</v>
      </c>
      <c r="B404" s="2">
        <v>46203</v>
      </c>
      <c r="C404" t="s">
        <v>38</v>
      </c>
      <c r="D404" t="s">
        <v>10</v>
      </c>
      <c r="E404" t="s">
        <v>7</v>
      </c>
      <c r="F404" t="s">
        <v>40</v>
      </c>
      <c r="G404" t="s">
        <v>36</v>
      </c>
      <c r="H404">
        <v>10</v>
      </c>
      <c r="I404" t="s">
        <v>45</v>
      </c>
      <c r="J404">
        <f>VLOOKUP(Shoe_Sales[[#This Row],[Product]],products!$A$1:$C$9,3,0)</f>
        <v>64</v>
      </c>
      <c r="K404">
        <f>VLOOKUP(Shoe_Sales[[#This Row],[Product]],products!$A$1:$C$9,2,FALSE)</f>
        <v>112</v>
      </c>
      <c r="L404">
        <f>Shoe_Sales[[#This Row],[Cost Price]]*Shoe_Sales[[#This Row],[Quantity]]</f>
        <v>640</v>
      </c>
      <c r="M404">
        <f>Shoe_Sales[[#This Row],[Selling Price]]*Shoe_Sales[[#This Row],[Quantity]]</f>
        <v>1120</v>
      </c>
      <c r="N404">
        <f>Shoe_Sales[[#This Row],[Revenue]]-Shoe_Sales[[#This Row],[Cost]]</f>
        <v>480</v>
      </c>
      <c r="O404" s="3">
        <f>Shoe_Sales[[#This Row],[Profit]]/Shoe_Sales[[#This Row],[Revenue]]</f>
        <v>0.42857142857142855</v>
      </c>
    </row>
    <row r="405" spans="1:15" x14ac:dyDescent="0.35">
      <c r="A405" s="2" t="s">
        <v>454</v>
      </c>
      <c r="B405" s="2">
        <v>46203</v>
      </c>
      <c r="C405" t="s">
        <v>42</v>
      </c>
      <c r="D405" t="s">
        <v>25</v>
      </c>
      <c r="E405" t="s">
        <v>16</v>
      </c>
      <c r="F405" t="s">
        <v>17</v>
      </c>
      <c r="G405" t="s">
        <v>32</v>
      </c>
      <c r="H405">
        <v>11</v>
      </c>
      <c r="I405" t="s">
        <v>45</v>
      </c>
      <c r="J405">
        <f>VLOOKUP(Shoe_Sales[[#This Row],[Product]],products!$A$1:$C$9,3,0)</f>
        <v>47</v>
      </c>
      <c r="K405">
        <f>VLOOKUP(Shoe_Sales[[#This Row],[Product]],products!$A$1:$C$9,2,FALSE)</f>
        <v>89</v>
      </c>
      <c r="L405">
        <f>Shoe_Sales[[#This Row],[Cost Price]]*Shoe_Sales[[#This Row],[Quantity]]</f>
        <v>517</v>
      </c>
      <c r="M405">
        <f>Shoe_Sales[[#This Row],[Selling Price]]*Shoe_Sales[[#This Row],[Quantity]]</f>
        <v>979</v>
      </c>
      <c r="N405">
        <f>Shoe_Sales[[#This Row],[Revenue]]-Shoe_Sales[[#This Row],[Cost]]</f>
        <v>462</v>
      </c>
      <c r="O405" s="3">
        <f>Shoe_Sales[[#This Row],[Profit]]/Shoe_Sales[[#This Row],[Revenue]]</f>
        <v>0.47191011235955055</v>
      </c>
    </row>
    <row r="406" spans="1:15" x14ac:dyDescent="0.35">
      <c r="A406" s="2" t="s">
        <v>455</v>
      </c>
      <c r="B406" s="2">
        <v>46203</v>
      </c>
      <c r="C406" t="s">
        <v>41</v>
      </c>
      <c r="D406" t="s">
        <v>25</v>
      </c>
      <c r="E406" t="s">
        <v>20</v>
      </c>
      <c r="F406" t="s">
        <v>17</v>
      </c>
      <c r="G406" t="s">
        <v>21</v>
      </c>
      <c r="H406">
        <v>7</v>
      </c>
      <c r="I406" t="s">
        <v>45</v>
      </c>
      <c r="J406">
        <f>VLOOKUP(Shoe_Sales[[#This Row],[Product]],products!$A$1:$C$9,3,0)</f>
        <v>39</v>
      </c>
      <c r="K406">
        <f>VLOOKUP(Shoe_Sales[[#This Row],[Product]],products!$A$1:$C$9,2,FALSE)</f>
        <v>76</v>
      </c>
      <c r="L406">
        <f>Shoe_Sales[[#This Row],[Cost Price]]*Shoe_Sales[[#This Row],[Quantity]]</f>
        <v>273</v>
      </c>
      <c r="M406">
        <f>Shoe_Sales[[#This Row],[Selling Price]]*Shoe_Sales[[#This Row],[Quantity]]</f>
        <v>532</v>
      </c>
      <c r="N406">
        <f>Shoe_Sales[[#This Row],[Revenue]]-Shoe_Sales[[#This Row],[Cost]]</f>
        <v>259</v>
      </c>
      <c r="O406" s="3">
        <f>Shoe_Sales[[#This Row],[Profit]]/Shoe_Sales[[#This Row],[Revenue]]</f>
        <v>0.48684210526315791</v>
      </c>
    </row>
    <row r="407" spans="1:15" x14ac:dyDescent="0.35">
      <c r="A407" s="2" t="s">
        <v>456</v>
      </c>
      <c r="B407" s="2">
        <v>46204</v>
      </c>
      <c r="C407" t="s">
        <v>38</v>
      </c>
      <c r="D407" t="s">
        <v>25</v>
      </c>
      <c r="E407" t="s">
        <v>20</v>
      </c>
      <c r="F407" t="s">
        <v>29</v>
      </c>
      <c r="G407" t="s">
        <v>9</v>
      </c>
      <c r="H407">
        <v>7</v>
      </c>
      <c r="I407" t="s">
        <v>48</v>
      </c>
      <c r="J407">
        <f>VLOOKUP(Shoe_Sales[[#This Row],[Product]],products!$A$1:$C$9,3,0)</f>
        <v>64</v>
      </c>
      <c r="K407">
        <f>VLOOKUP(Shoe_Sales[[#This Row],[Product]],products!$A$1:$C$9,2,FALSE)</f>
        <v>112</v>
      </c>
      <c r="L407">
        <f>Shoe_Sales[[#This Row],[Cost Price]]*Shoe_Sales[[#This Row],[Quantity]]</f>
        <v>448</v>
      </c>
      <c r="M407">
        <f>Shoe_Sales[[#This Row],[Selling Price]]*Shoe_Sales[[#This Row],[Quantity]]</f>
        <v>784</v>
      </c>
      <c r="N407">
        <f>Shoe_Sales[[#This Row],[Revenue]]-Shoe_Sales[[#This Row],[Cost]]</f>
        <v>336</v>
      </c>
      <c r="O407" s="3">
        <f>Shoe_Sales[[#This Row],[Profit]]/Shoe_Sales[[#This Row],[Revenue]]</f>
        <v>0.42857142857142855</v>
      </c>
    </row>
    <row r="408" spans="1:15" x14ac:dyDescent="0.35">
      <c r="A408" s="2" t="s">
        <v>457</v>
      </c>
      <c r="B408" s="2">
        <v>46204</v>
      </c>
      <c r="C408" t="s">
        <v>39</v>
      </c>
      <c r="D408" t="s">
        <v>31</v>
      </c>
      <c r="E408" t="s">
        <v>7</v>
      </c>
      <c r="F408" t="s">
        <v>29</v>
      </c>
      <c r="G408" t="s">
        <v>12</v>
      </c>
      <c r="H408">
        <v>3</v>
      </c>
      <c r="I408" t="s">
        <v>45</v>
      </c>
      <c r="J408">
        <f>VLOOKUP(Shoe_Sales[[#This Row],[Product]],products!$A$1:$C$9,3,0)</f>
        <v>72</v>
      </c>
      <c r="K408">
        <f>VLOOKUP(Shoe_Sales[[#This Row],[Product]],products!$A$1:$C$9,2,FALSE)</f>
        <v>128</v>
      </c>
      <c r="L408">
        <f>Shoe_Sales[[#This Row],[Cost Price]]*Shoe_Sales[[#This Row],[Quantity]]</f>
        <v>216</v>
      </c>
      <c r="M408">
        <f>Shoe_Sales[[#This Row],[Selling Price]]*Shoe_Sales[[#This Row],[Quantity]]</f>
        <v>384</v>
      </c>
      <c r="N408">
        <f>Shoe_Sales[[#This Row],[Revenue]]-Shoe_Sales[[#This Row],[Cost]]</f>
        <v>168</v>
      </c>
      <c r="O408" s="3">
        <f>Shoe_Sales[[#This Row],[Profit]]/Shoe_Sales[[#This Row],[Revenue]]</f>
        <v>0.4375</v>
      </c>
    </row>
    <row r="409" spans="1:15" x14ac:dyDescent="0.35">
      <c r="A409" s="2" t="s">
        <v>458</v>
      </c>
      <c r="B409" s="2">
        <v>46204</v>
      </c>
      <c r="C409" t="s">
        <v>27</v>
      </c>
      <c r="D409" t="s">
        <v>31</v>
      </c>
      <c r="E409" t="s">
        <v>7</v>
      </c>
      <c r="F409" t="s">
        <v>40</v>
      </c>
      <c r="G409" t="s">
        <v>37</v>
      </c>
      <c r="H409">
        <v>4</v>
      </c>
      <c r="I409" t="s">
        <v>48</v>
      </c>
      <c r="J409">
        <f>VLOOKUP(Shoe_Sales[[#This Row],[Product]],products!$A$1:$C$9,3,0)</f>
        <v>14</v>
      </c>
      <c r="K409">
        <f>VLOOKUP(Shoe_Sales[[#This Row],[Product]],products!$A$1:$C$9,2,FALSE)</f>
        <v>32</v>
      </c>
      <c r="L409">
        <f>Shoe_Sales[[#This Row],[Cost Price]]*Shoe_Sales[[#This Row],[Quantity]]</f>
        <v>56</v>
      </c>
      <c r="M409">
        <f>Shoe_Sales[[#This Row],[Selling Price]]*Shoe_Sales[[#This Row],[Quantity]]</f>
        <v>128</v>
      </c>
      <c r="N409">
        <f>Shoe_Sales[[#This Row],[Revenue]]-Shoe_Sales[[#This Row],[Cost]]</f>
        <v>72</v>
      </c>
      <c r="O409" s="3">
        <f>Shoe_Sales[[#This Row],[Profit]]/Shoe_Sales[[#This Row],[Revenue]]</f>
        <v>0.5625</v>
      </c>
    </row>
    <row r="410" spans="1:15" x14ac:dyDescent="0.35">
      <c r="A410" s="2" t="s">
        <v>459</v>
      </c>
      <c r="B410" s="2">
        <v>46205</v>
      </c>
      <c r="C410" t="s">
        <v>13</v>
      </c>
      <c r="D410" t="s">
        <v>10</v>
      </c>
      <c r="E410" t="s">
        <v>16</v>
      </c>
      <c r="F410" t="s">
        <v>29</v>
      </c>
      <c r="G410" t="s">
        <v>28</v>
      </c>
      <c r="H410">
        <v>3</v>
      </c>
      <c r="I410" t="s">
        <v>47</v>
      </c>
      <c r="J410">
        <f>VLOOKUP(Shoe_Sales[[#This Row],[Product]],products!$A$1:$C$9,3,0)</f>
        <v>67</v>
      </c>
      <c r="K410">
        <f>VLOOKUP(Shoe_Sales[[#This Row],[Product]],products!$A$1:$C$9,2,FALSE)</f>
        <v>119</v>
      </c>
      <c r="L410">
        <f>Shoe_Sales[[#This Row],[Cost Price]]*Shoe_Sales[[#This Row],[Quantity]]</f>
        <v>201</v>
      </c>
      <c r="M410">
        <f>Shoe_Sales[[#This Row],[Selling Price]]*Shoe_Sales[[#This Row],[Quantity]]</f>
        <v>357</v>
      </c>
      <c r="N410">
        <f>Shoe_Sales[[#This Row],[Revenue]]-Shoe_Sales[[#This Row],[Cost]]</f>
        <v>156</v>
      </c>
      <c r="O410" s="3">
        <f>Shoe_Sales[[#This Row],[Profit]]/Shoe_Sales[[#This Row],[Revenue]]</f>
        <v>0.43697478991596639</v>
      </c>
    </row>
    <row r="411" spans="1:15" x14ac:dyDescent="0.35">
      <c r="A411" s="2" t="s">
        <v>460</v>
      </c>
      <c r="B411" s="2">
        <v>46207</v>
      </c>
      <c r="C411" t="s">
        <v>42</v>
      </c>
      <c r="D411" t="s">
        <v>10</v>
      </c>
      <c r="E411" t="s">
        <v>7</v>
      </c>
      <c r="F411" t="s">
        <v>8</v>
      </c>
      <c r="G411" t="s">
        <v>21</v>
      </c>
      <c r="H411">
        <v>3</v>
      </c>
      <c r="I411" t="s">
        <v>46</v>
      </c>
      <c r="J411">
        <f>VLOOKUP(Shoe_Sales[[#This Row],[Product]],products!$A$1:$C$9,3,0)</f>
        <v>47</v>
      </c>
      <c r="K411">
        <f>VLOOKUP(Shoe_Sales[[#This Row],[Product]],products!$A$1:$C$9,2,FALSE)</f>
        <v>89</v>
      </c>
      <c r="L411">
        <f>Shoe_Sales[[#This Row],[Cost Price]]*Shoe_Sales[[#This Row],[Quantity]]</f>
        <v>141</v>
      </c>
      <c r="M411">
        <f>Shoe_Sales[[#This Row],[Selling Price]]*Shoe_Sales[[#This Row],[Quantity]]</f>
        <v>267</v>
      </c>
      <c r="N411">
        <f>Shoe_Sales[[#This Row],[Revenue]]-Shoe_Sales[[#This Row],[Cost]]</f>
        <v>126</v>
      </c>
      <c r="O411" s="3">
        <f>Shoe_Sales[[#This Row],[Profit]]/Shoe_Sales[[#This Row],[Revenue]]</f>
        <v>0.47191011235955055</v>
      </c>
    </row>
    <row r="412" spans="1:15" x14ac:dyDescent="0.35">
      <c r="A412" s="2" t="s">
        <v>461</v>
      </c>
      <c r="B412" s="2">
        <v>46208</v>
      </c>
      <c r="C412" t="s">
        <v>39</v>
      </c>
      <c r="D412" t="s">
        <v>25</v>
      </c>
      <c r="E412" t="s">
        <v>7</v>
      </c>
      <c r="F412" t="s">
        <v>8</v>
      </c>
      <c r="G412" t="s">
        <v>37</v>
      </c>
      <c r="H412">
        <v>13</v>
      </c>
      <c r="I412" t="s">
        <v>45</v>
      </c>
      <c r="J412">
        <f>VLOOKUP(Shoe_Sales[[#This Row],[Product]],products!$A$1:$C$9,3,0)</f>
        <v>72</v>
      </c>
      <c r="K412">
        <f>VLOOKUP(Shoe_Sales[[#This Row],[Product]],products!$A$1:$C$9,2,FALSE)</f>
        <v>128</v>
      </c>
      <c r="L412">
        <f>Shoe_Sales[[#This Row],[Cost Price]]*Shoe_Sales[[#This Row],[Quantity]]</f>
        <v>936</v>
      </c>
      <c r="M412">
        <f>Shoe_Sales[[#This Row],[Selling Price]]*Shoe_Sales[[#This Row],[Quantity]]</f>
        <v>1664</v>
      </c>
      <c r="N412">
        <f>Shoe_Sales[[#This Row],[Revenue]]-Shoe_Sales[[#This Row],[Cost]]</f>
        <v>728</v>
      </c>
      <c r="O412" s="3">
        <f>Shoe_Sales[[#This Row],[Profit]]/Shoe_Sales[[#This Row],[Revenue]]</f>
        <v>0.4375</v>
      </c>
    </row>
    <row r="413" spans="1:15" x14ac:dyDescent="0.35">
      <c r="A413" s="2" t="s">
        <v>462</v>
      </c>
      <c r="B413" s="2">
        <v>46208</v>
      </c>
      <c r="C413" t="s">
        <v>42</v>
      </c>
      <c r="D413" t="s">
        <v>25</v>
      </c>
      <c r="E413" t="s">
        <v>16</v>
      </c>
      <c r="F413" t="s">
        <v>35</v>
      </c>
      <c r="G413" t="s">
        <v>28</v>
      </c>
      <c r="H413">
        <v>3</v>
      </c>
      <c r="I413" t="s">
        <v>47</v>
      </c>
      <c r="J413">
        <f>VLOOKUP(Shoe_Sales[[#This Row],[Product]],products!$A$1:$C$9,3,0)</f>
        <v>47</v>
      </c>
      <c r="K413">
        <f>VLOOKUP(Shoe_Sales[[#This Row],[Product]],products!$A$1:$C$9,2,FALSE)</f>
        <v>89</v>
      </c>
      <c r="L413">
        <f>Shoe_Sales[[#This Row],[Cost Price]]*Shoe_Sales[[#This Row],[Quantity]]</f>
        <v>141</v>
      </c>
      <c r="M413">
        <f>Shoe_Sales[[#This Row],[Selling Price]]*Shoe_Sales[[#This Row],[Quantity]]</f>
        <v>267</v>
      </c>
      <c r="N413">
        <f>Shoe_Sales[[#This Row],[Revenue]]-Shoe_Sales[[#This Row],[Cost]]</f>
        <v>126</v>
      </c>
      <c r="O413" s="3">
        <f>Shoe_Sales[[#This Row],[Profit]]/Shoe_Sales[[#This Row],[Revenue]]</f>
        <v>0.47191011235955055</v>
      </c>
    </row>
    <row r="414" spans="1:15" x14ac:dyDescent="0.35">
      <c r="A414" s="2" t="s">
        <v>463</v>
      </c>
      <c r="B414" s="2">
        <v>46208</v>
      </c>
      <c r="C414" t="s">
        <v>13</v>
      </c>
      <c r="D414" t="s">
        <v>10</v>
      </c>
      <c r="E414" t="s">
        <v>20</v>
      </c>
      <c r="F414" t="s">
        <v>17</v>
      </c>
      <c r="G414" t="s">
        <v>24</v>
      </c>
      <c r="H414">
        <v>8</v>
      </c>
      <c r="I414" t="s">
        <v>45</v>
      </c>
      <c r="J414">
        <f>VLOOKUP(Shoe_Sales[[#This Row],[Product]],products!$A$1:$C$9,3,0)</f>
        <v>67</v>
      </c>
      <c r="K414">
        <f>VLOOKUP(Shoe_Sales[[#This Row],[Product]],products!$A$1:$C$9,2,FALSE)</f>
        <v>119</v>
      </c>
      <c r="L414">
        <f>Shoe_Sales[[#This Row],[Cost Price]]*Shoe_Sales[[#This Row],[Quantity]]</f>
        <v>536</v>
      </c>
      <c r="M414">
        <f>Shoe_Sales[[#This Row],[Selling Price]]*Shoe_Sales[[#This Row],[Quantity]]</f>
        <v>952</v>
      </c>
      <c r="N414">
        <f>Shoe_Sales[[#This Row],[Revenue]]-Shoe_Sales[[#This Row],[Cost]]</f>
        <v>416</v>
      </c>
      <c r="O414" s="3">
        <f>Shoe_Sales[[#This Row],[Profit]]/Shoe_Sales[[#This Row],[Revenue]]</f>
        <v>0.43697478991596639</v>
      </c>
    </row>
    <row r="415" spans="1:15" x14ac:dyDescent="0.35">
      <c r="A415" s="2" t="s">
        <v>464</v>
      </c>
      <c r="B415" s="2">
        <v>46209</v>
      </c>
      <c r="C415" t="s">
        <v>39</v>
      </c>
      <c r="D415" t="s">
        <v>10</v>
      </c>
      <c r="E415" t="s">
        <v>14</v>
      </c>
      <c r="F415" t="s">
        <v>35</v>
      </c>
      <c r="G415" t="s">
        <v>23</v>
      </c>
      <c r="H415">
        <v>6</v>
      </c>
      <c r="I415" t="s">
        <v>48</v>
      </c>
      <c r="J415">
        <f>VLOOKUP(Shoe_Sales[[#This Row],[Product]],products!$A$1:$C$9,3,0)</f>
        <v>72</v>
      </c>
      <c r="K415">
        <f>VLOOKUP(Shoe_Sales[[#This Row],[Product]],products!$A$1:$C$9,2,FALSE)</f>
        <v>128</v>
      </c>
      <c r="L415">
        <f>Shoe_Sales[[#This Row],[Cost Price]]*Shoe_Sales[[#This Row],[Quantity]]</f>
        <v>432</v>
      </c>
      <c r="M415">
        <f>Shoe_Sales[[#This Row],[Selling Price]]*Shoe_Sales[[#This Row],[Quantity]]</f>
        <v>768</v>
      </c>
      <c r="N415">
        <f>Shoe_Sales[[#This Row],[Revenue]]-Shoe_Sales[[#This Row],[Cost]]</f>
        <v>336</v>
      </c>
      <c r="O415" s="3">
        <f>Shoe_Sales[[#This Row],[Profit]]/Shoe_Sales[[#This Row],[Revenue]]</f>
        <v>0.4375</v>
      </c>
    </row>
    <row r="416" spans="1:15" x14ac:dyDescent="0.35">
      <c r="A416" s="2" t="s">
        <v>465</v>
      </c>
      <c r="B416" s="2">
        <v>46210</v>
      </c>
      <c r="C416" t="s">
        <v>42</v>
      </c>
      <c r="D416" t="s">
        <v>25</v>
      </c>
      <c r="E416" t="s">
        <v>20</v>
      </c>
      <c r="F416" t="s">
        <v>40</v>
      </c>
      <c r="G416" t="s">
        <v>34</v>
      </c>
      <c r="H416">
        <v>7</v>
      </c>
      <c r="I416" t="s">
        <v>45</v>
      </c>
      <c r="J416">
        <f>VLOOKUP(Shoe_Sales[[#This Row],[Product]],products!$A$1:$C$9,3,0)</f>
        <v>47</v>
      </c>
      <c r="K416">
        <f>VLOOKUP(Shoe_Sales[[#This Row],[Product]],products!$A$1:$C$9,2,FALSE)</f>
        <v>89</v>
      </c>
      <c r="L416">
        <f>Shoe_Sales[[#This Row],[Cost Price]]*Shoe_Sales[[#This Row],[Quantity]]</f>
        <v>329</v>
      </c>
      <c r="M416">
        <f>Shoe_Sales[[#This Row],[Selling Price]]*Shoe_Sales[[#This Row],[Quantity]]</f>
        <v>623</v>
      </c>
      <c r="N416">
        <f>Shoe_Sales[[#This Row],[Revenue]]-Shoe_Sales[[#This Row],[Cost]]</f>
        <v>294</v>
      </c>
      <c r="O416" s="3">
        <f>Shoe_Sales[[#This Row],[Profit]]/Shoe_Sales[[#This Row],[Revenue]]</f>
        <v>0.47191011235955055</v>
      </c>
    </row>
    <row r="417" spans="1:15" x14ac:dyDescent="0.35">
      <c r="A417" s="2" t="s">
        <v>466</v>
      </c>
      <c r="B417" s="2">
        <v>46210</v>
      </c>
      <c r="C417" t="s">
        <v>38</v>
      </c>
      <c r="D417" t="s">
        <v>19</v>
      </c>
      <c r="E417" t="s">
        <v>16</v>
      </c>
      <c r="F417" t="s">
        <v>35</v>
      </c>
      <c r="G417" t="s">
        <v>36</v>
      </c>
      <c r="H417">
        <v>12</v>
      </c>
      <c r="I417" t="s">
        <v>47</v>
      </c>
      <c r="J417">
        <f>VLOOKUP(Shoe_Sales[[#This Row],[Product]],products!$A$1:$C$9,3,0)</f>
        <v>64</v>
      </c>
      <c r="K417">
        <f>VLOOKUP(Shoe_Sales[[#This Row],[Product]],products!$A$1:$C$9,2,FALSE)</f>
        <v>112</v>
      </c>
      <c r="L417">
        <f>Shoe_Sales[[#This Row],[Cost Price]]*Shoe_Sales[[#This Row],[Quantity]]</f>
        <v>768</v>
      </c>
      <c r="M417">
        <f>Shoe_Sales[[#This Row],[Selling Price]]*Shoe_Sales[[#This Row],[Quantity]]</f>
        <v>1344</v>
      </c>
      <c r="N417">
        <f>Shoe_Sales[[#This Row],[Revenue]]-Shoe_Sales[[#This Row],[Cost]]</f>
        <v>576</v>
      </c>
      <c r="O417" s="3">
        <f>Shoe_Sales[[#This Row],[Profit]]/Shoe_Sales[[#This Row],[Revenue]]</f>
        <v>0.42857142857142855</v>
      </c>
    </row>
    <row r="418" spans="1:15" x14ac:dyDescent="0.35">
      <c r="A418" s="2" t="s">
        <v>467</v>
      </c>
      <c r="B418" s="2">
        <v>46210</v>
      </c>
      <c r="C418" t="s">
        <v>41</v>
      </c>
      <c r="D418" t="s">
        <v>25</v>
      </c>
      <c r="E418" t="s">
        <v>20</v>
      </c>
      <c r="F418" t="s">
        <v>17</v>
      </c>
      <c r="G418" t="s">
        <v>34</v>
      </c>
      <c r="H418">
        <v>3</v>
      </c>
      <c r="I418" t="s">
        <v>46</v>
      </c>
      <c r="J418">
        <f>VLOOKUP(Shoe_Sales[[#This Row],[Product]],products!$A$1:$C$9,3,0)</f>
        <v>39</v>
      </c>
      <c r="K418">
        <f>VLOOKUP(Shoe_Sales[[#This Row],[Product]],products!$A$1:$C$9,2,FALSE)</f>
        <v>76</v>
      </c>
      <c r="L418">
        <f>Shoe_Sales[[#This Row],[Cost Price]]*Shoe_Sales[[#This Row],[Quantity]]</f>
        <v>117</v>
      </c>
      <c r="M418">
        <f>Shoe_Sales[[#This Row],[Selling Price]]*Shoe_Sales[[#This Row],[Quantity]]</f>
        <v>228</v>
      </c>
      <c r="N418">
        <f>Shoe_Sales[[#This Row],[Revenue]]-Shoe_Sales[[#This Row],[Cost]]</f>
        <v>111</v>
      </c>
      <c r="O418" s="3">
        <f>Shoe_Sales[[#This Row],[Profit]]/Shoe_Sales[[#This Row],[Revenue]]</f>
        <v>0.48684210526315791</v>
      </c>
    </row>
    <row r="419" spans="1:15" x14ac:dyDescent="0.35">
      <c r="A419" s="2" t="s">
        <v>468</v>
      </c>
      <c r="B419" s="2">
        <v>46210</v>
      </c>
      <c r="C419" t="s">
        <v>27</v>
      </c>
      <c r="D419" t="s">
        <v>25</v>
      </c>
      <c r="E419" t="s">
        <v>7</v>
      </c>
      <c r="F419" t="s">
        <v>17</v>
      </c>
      <c r="G419" t="s">
        <v>26</v>
      </c>
      <c r="H419">
        <v>3</v>
      </c>
      <c r="I419" t="s">
        <v>46</v>
      </c>
      <c r="J419">
        <f>VLOOKUP(Shoe_Sales[[#This Row],[Product]],products!$A$1:$C$9,3,0)</f>
        <v>14</v>
      </c>
      <c r="K419">
        <f>VLOOKUP(Shoe_Sales[[#This Row],[Product]],products!$A$1:$C$9,2,FALSE)</f>
        <v>32</v>
      </c>
      <c r="L419">
        <f>Shoe_Sales[[#This Row],[Cost Price]]*Shoe_Sales[[#This Row],[Quantity]]</f>
        <v>42</v>
      </c>
      <c r="M419">
        <f>Shoe_Sales[[#This Row],[Selling Price]]*Shoe_Sales[[#This Row],[Quantity]]</f>
        <v>96</v>
      </c>
      <c r="N419">
        <f>Shoe_Sales[[#This Row],[Revenue]]-Shoe_Sales[[#This Row],[Cost]]</f>
        <v>54</v>
      </c>
      <c r="O419" s="3">
        <f>Shoe_Sales[[#This Row],[Profit]]/Shoe_Sales[[#This Row],[Revenue]]</f>
        <v>0.5625</v>
      </c>
    </row>
    <row r="420" spans="1:15" x14ac:dyDescent="0.35">
      <c r="A420" s="2" t="s">
        <v>469</v>
      </c>
      <c r="B420" s="2">
        <v>46211</v>
      </c>
      <c r="C420" t="s">
        <v>13</v>
      </c>
      <c r="D420" t="s">
        <v>25</v>
      </c>
      <c r="E420" t="s">
        <v>7</v>
      </c>
      <c r="F420" t="s">
        <v>40</v>
      </c>
      <c r="G420" t="s">
        <v>21</v>
      </c>
      <c r="H420">
        <v>6</v>
      </c>
      <c r="I420" t="s">
        <v>48</v>
      </c>
      <c r="J420">
        <f>VLOOKUP(Shoe_Sales[[#This Row],[Product]],products!$A$1:$C$9,3,0)</f>
        <v>67</v>
      </c>
      <c r="K420">
        <f>VLOOKUP(Shoe_Sales[[#This Row],[Product]],products!$A$1:$C$9,2,FALSE)</f>
        <v>119</v>
      </c>
      <c r="L420">
        <f>Shoe_Sales[[#This Row],[Cost Price]]*Shoe_Sales[[#This Row],[Quantity]]</f>
        <v>402</v>
      </c>
      <c r="M420">
        <f>Shoe_Sales[[#This Row],[Selling Price]]*Shoe_Sales[[#This Row],[Quantity]]</f>
        <v>714</v>
      </c>
      <c r="N420">
        <f>Shoe_Sales[[#This Row],[Revenue]]-Shoe_Sales[[#This Row],[Cost]]</f>
        <v>312</v>
      </c>
      <c r="O420" s="3">
        <f>Shoe_Sales[[#This Row],[Profit]]/Shoe_Sales[[#This Row],[Revenue]]</f>
        <v>0.43697478991596639</v>
      </c>
    </row>
    <row r="421" spans="1:15" x14ac:dyDescent="0.35">
      <c r="A421" s="2" t="s">
        <v>470</v>
      </c>
      <c r="B421" s="2">
        <v>46211</v>
      </c>
      <c r="C421" t="s">
        <v>13</v>
      </c>
      <c r="D421" t="s">
        <v>25</v>
      </c>
      <c r="E421" t="s">
        <v>7</v>
      </c>
      <c r="F421" t="s">
        <v>17</v>
      </c>
      <c r="G421" t="s">
        <v>26</v>
      </c>
      <c r="H421">
        <v>7</v>
      </c>
      <c r="I421" t="s">
        <v>46</v>
      </c>
      <c r="J421">
        <f>VLOOKUP(Shoe_Sales[[#This Row],[Product]],products!$A$1:$C$9,3,0)</f>
        <v>67</v>
      </c>
      <c r="K421">
        <f>VLOOKUP(Shoe_Sales[[#This Row],[Product]],products!$A$1:$C$9,2,FALSE)</f>
        <v>119</v>
      </c>
      <c r="L421">
        <f>Shoe_Sales[[#This Row],[Cost Price]]*Shoe_Sales[[#This Row],[Quantity]]</f>
        <v>469</v>
      </c>
      <c r="M421">
        <f>Shoe_Sales[[#This Row],[Selling Price]]*Shoe_Sales[[#This Row],[Quantity]]</f>
        <v>833</v>
      </c>
      <c r="N421">
        <f>Shoe_Sales[[#This Row],[Revenue]]-Shoe_Sales[[#This Row],[Cost]]</f>
        <v>364</v>
      </c>
      <c r="O421" s="3">
        <f>Shoe_Sales[[#This Row],[Profit]]/Shoe_Sales[[#This Row],[Revenue]]</f>
        <v>0.43697478991596639</v>
      </c>
    </row>
    <row r="422" spans="1:15" x14ac:dyDescent="0.35">
      <c r="A422" s="2" t="s">
        <v>471</v>
      </c>
      <c r="B422" s="2">
        <v>46212</v>
      </c>
      <c r="C422" t="s">
        <v>42</v>
      </c>
      <c r="D422" t="s">
        <v>25</v>
      </c>
      <c r="E422" t="s">
        <v>11</v>
      </c>
      <c r="F422" t="s">
        <v>35</v>
      </c>
      <c r="G422" t="s">
        <v>21</v>
      </c>
      <c r="H422">
        <v>12</v>
      </c>
      <c r="I422" t="s">
        <v>47</v>
      </c>
      <c r="J422">
        <f>VLOOKUP(Shoe_Sales[[#This Row],[Product]],products!$A$1:$C$9,3,0)</f>
        <v>47</v>
      </c>
      <c r="K422">
        <f>VLOOKUP(Shoe_Sales[[#This Row],[Product]],products!$A$1:$C$9,2,FALSE)</f>
        <v>89</v>
      </c>
      <c r="L422">
        <f>Shoe_Sales[[#This Row],[Cost Price]]*Shoe_Sales[[#This Row],[Quantity]]</f>
        <v>564</v>
      </c>
      <c r="M422">
        <f>Shoe_Sales[[#This Row],[Selling Price]]*Shoe_Sales[[#This Row],[Quantity]]</f>
        <v>1068</v>
      </c>
      <c r="N422">
        <f>Shoe_Sales[[#This Row],[Revenue]]-Shoe_Sales[[#This Row],[Cost]]</f>
        <v>504</v>
      </c>
      <c r="O422" s="3">
        <f>Shoe_Sales[[#This Row],[Profit]]/Shoe_Sales[[#This Row],[Revenue]]</f>
        <v>0.47191011235955055</v>
      </c>
    </row>
    <row r="423" spans="1:15" x14ac:dyDescent="0.35">
      <c r="A423" s="2" t="s">
        <v>472</v>
      </c>
      <c r="B423" s="2">
        <v>46213</v>
      </c>
      <c r="C423" t="s">
        <v>27</v>
      </c>
      <c r="D423" t="s">
        <v>10</v>
      </c>
      <c r="E423" t="s">
        <v>20</v>
      </c>
      <c r="F423" t="s">
        <v>8</v>
      </c>
      <c r="G423" t="s">
        <v>18</v>
      </c>
      <c r="H423">
        <v>9</v>
      </c>
      <c r="I423" t="s">
        <v>48</v>
      </c>
      <c r="J423">
        <f>VLOOKUP(Shoe_Sales[[#This Row],[Product]],products!$A$1:$C$9,3,0)</f>
        <v>14</v>
      </c>
      <c r="K423">
        <f>VLOOKUP(Shoe_Sales[[#This Row],[Product]],products!$A$1:$C$9,2,FALSE)</f>
        <v>32</v>
      </c>
      <c r="L423">
        <f>Shoe_Sales[[#This Row],[Cost Price]]*Shoe_Sales[[#This Row],[Quantity]]</f>
        <v>126</v>
      </c>
      <c r="M423">
        <f>Shoe_Sales[[#This Row],[Selling Price]]*Shoe_Sales[[#This Row],[Quantity]]</f>
        <v>288</v>
      </c>
      <c r="N423">
        <f>Shoe_Sales[[#This Row],[Revenue]]-Shoe_Sales[[#This Row],[Cost]]</f>
        <v>162</v>
      </c>
      <c r="O423" s="3">
        <f>Shoe_Sales[[#This Row],[Profit]]/Shoe_Sales[[#This Row],[Revenue]]</f>
        <v>0.5625</v>
      </c>
    </row>
    <row r="424" spans="1:15" x14ac:dyDescent="0.35">
      <c r="A424" s="2" t="s">
        <v>473</v>
      </c>
      <c r="B424" s="2">
        <v>46213</v>
      </c>
      <c r="C424" t="s">
        <v>41</v>
      </c>
      <c r="D424" t="s">
        <v>25</v>
      </c>
      <c r="E424" t="s">
        <v>14</v>
      </c>
      <c r="F424" t="s">
        <v>17</v>
      </c>
      <c r="G424" t="s">
        <v>32</v>
      </c>
      <c r="H424">
        <v>15</v>
      </c>
      <c r="I424" t="s">
        <v>48</v>
      </c>
      <c r="J424">
        <f>VLOOKUP(Shoe_Sales[[#This Row],[Product]],products!$A$1:$C$9,3,0)</f>
        <v>39</v>
      </c>
      <c r="K424">
        <f>VLOOKUP(Shoe_Sales[[#This Row],[Product]],products!$A$1:$C$9,2,FALSE)</f>
        <v>76</v>
      </c>
      <c r="L424">
        <f>Shoe_Sales[[#This Row],[Cost Price]]*Shoe_Sales[[#This Row],[Quantity]]</f>
        <v>585</v>
      </c>
      <c r="M424">
        <f>Shoe_Sales[[#This Row],[Selling Price]]*Shoe_Sales[[#This Row],[Quantity]]</f>
        <v>1140</v>
      </c>
      <c r="N424">
        <f>Shoe_Sales[[#This Row],[Revenue]]-Shoe_Sales[[#This Row],[Cost]]</f>
        <v>555</v>
      </c>
      <c r="O424" s="3">
        <f>Shoe_Sales[[#This Row],[Profit]]/Shoe_Sales[[#This Row],[Revenue]]</f>
        <v>0.48684210526315791</v>
      </c>
    </row>
    <row r="425" spans="1:15" x14ac:dyDescent="0.35">
      <c r="A425" s="2" t="s">
        <v>474</v>
      </c>
      <c r="B425" s="2">
        <v>46214</v>
      </c>
      <c r="C425" t="s">
        <v>42</v>
      </c>
      <c r="D425" t="s">
        <v>10</v>
      </c>
      <c r="E425" t="s">
        <v>11</v>
      </c>
      <c r="F425" t="s">
        <v>17</v>
      </c>
      <c r="G425" t="s">
        <v>37</v>
      </c>
      <c r="H425">
        <v>4</v>
      </c>
      <c r="I425" t="s">
        <v>45</v>
      </c>
      <c r="J425">
        <f>VLOOKUP(Shoe_Sales[[#This Row],[Product]],products!$A$1:$C$9,3,0)</f>
        <v>47</v>
      </c>
      <c r="K425">
        <f>VLOOKUP(Shoe_Sales[[#This Row],[Product]],products!$A$1:$C$9,2,FALSE)</f>
        <v>89</v>
      </c>
      <c r="L425">
        <f>Shoe_Sales[[#This Row],[Cost Price]]*Shoe_Sales[[#This Row],[Quantity]]</f>
        <v>188</v>
      </c>
      <c r="M425">
        <f>Shoe_Sales[[#This Row],[Selling Price]]*Shoe_Sales[[#This Row],[Quantity]]</f>
        <v>356</v>
      </c>
      <c r="N425">
        <f>Shoe_Sales[[#This Row],[Revenue]]-Shoe_Sales[[#This Row],[Cost]]</f>
        <v>168</v>
      </c>
      <c r="O425" s="3">
        <f>Shoe_Sales[[#This Row],[Profit]]/Shoe_Sales[[#This Row],[Revenue]]</f>
        <v>0.47191011235955055</v>
      </c>
    </row>
    <row r="426" spans="1:15" x14ac:dyDescent="0.35">
      <c r="A426" s="2" t="s">
        <v>475</v>
      </c>
      <c r="B426" s="2">
        <v>46214</v>
      </c>
      <c r="C426" t="s">
        <v>27</v>
      </c>
      <c r="D426" t="s">
        <v>10</v>
      </c>
      <c r="E426" t="s">
        <v>7</v>
      </c>
      <c r="F426" t="s">
        <v>8</v>
      </c>
      <c r="G426" t="s">
        <v>21</v>
      </c>
      <c r="H426">
        <v>15</v>
      </c>
      <c r="I426" t="s">
        <v>46</v>
      </c>
      <c r="J426">
        <f>VLOOKUP(Shoe_Sales[[#This Row],[Product]],products!$A$1:$C$9,3,0)</f>
        <v>14</v>
      </c>
      <c r="K426">
        <f>VLOOKUP(Shoe_Sales[[#This Row],[Product]],products!$A$1:$C$9,2,FALSE)</f>
        <v>32</v>
      </c>
      <c r="L426">
        <f>Shoe_Sales[[#This Row],[Cost Price]]*Shoe_Sales[[#This Row],[Quantity]]</f>
        <v>210</v>
      </c>
      <c r="M426">
        <f>Shoe_Sales[[#This Row],[Selling Price]]*Shoe_Sales[[#This Row],[Quantity]]</f>
        <v>480</v>
      </c>
      <c r="N426">
        <f>Shoe_Sales[[#This Row],[Revenue]]-Shoe_Sales[[#This Row],[Cost]]</f>
        <v>270</v>
      </c>
      <c r="O426" s="3">
        <f>Shoe_Sales[[#This Row],[Profit]]/Shoe_Sales[[#This Row],[Revenue]]</f>
        <v>0.5625</v>
      </c>
    </row>
    <row r="427" spans="1:15" x14ac:dyDescent="0.35">
      <c r="A427" s="2" t="s">
        <v>476</v>
      </c>
      <c r="B427" s="2">
        <v>46214</v>
      </c>
      <c r="C427" t="s">
        <v>22</v>
      </c>
      <c r="D427" t="s">
        <v>25</v>
      </c>
      <c r="E427" t="s">
        <v>20</v>
      </c>
      <c r="F427" t="s">
        <v>8</v>
      </c>
      <c r="G427" t="s">
        <v>15</v>
      </c>
      <c r="H427">
        <v>5</v>
      </c>
      <c r="I427" t="s">
        <v>48</v>
      </c>
      <c r="J427">
        <f>VLOOKUP(Shoe_Sales[[#This Row],[Product]],products!$A$1:$C$9,3,0)</f>
        <v>58</v>
      </c>
      <c r="K427">
        <f>VLOOKUP(Shoe_Sales[[#This Row],[Product]],products!$A$1:$C$9,2,FALSE)</f>
        <v>105</v>
      </c>
      <c r="L427">
        <f>Shoe_Sales[[#This Row],[Cost Price]]*Shoe_Sales[[#This Row],[Quantity]]</f>
        <v>290</v>
      </c>
      <c r="M427">
        <f>Shoe_Sales[[#This Row],[Selling Price]]*Shoe_Sales[[#This Row],[Quantity]]</f>
        <v>525</v>
      </c>
      <c r="N427">
        <f>Shoe_Sales[[#This Row],[Revenue]]-Shoe_Sales[[#This Row],[Cost]]</f>
        <v>235</v>
      </c>
      <c r="O427" s="3">
        <f>Shoe_Sales[[#This Row],[Profit]]/Shoe_Sales[[#This Row],[Revenue]]</f>
        <v>0.44761904761904764</v>
      </c>
    </row>
    <row r="428" spans="1:15" x14ac:dyDescent="0.35">
      <c r="A428" s="2" t="s">
        <v>477</v>
      </c>
      <c r="B428" s="2">
        <v>46214</v>
      </c>
      <c r="C428" t="s">
        <v>41</v>
      </c>
      <c r="D428" t="s">
        <v>19</v>
      </c>
      <c r="E428" t="s">
        <v>7</v>
      </c>
      <c r="F428" t="s">
        <v>40</v>
      </c>
      <c r="G428" t="s">
        <v>34</v>
      </c>
      <c r="H428">
        <v>6</v>
      </c>
      <c r="I428" t="s">
        <v>45</v>
      </c>
      <c r="J428">
        <f>VLOOKUP(Shoe_Sales[[#This Row],[Product]],products!$A$1:$C$9,3,0)</f>
        <v>39</v>
      </c>
      <c r="K428">
        <f>VLOOKUP(Shoe_Sales[[#This Row],[Product]],products!$A$1:$C$9,2,FALSE)</f>
        <v>76</v>
      </c>
      <c r="L428">
        <f>Shoe_Sales[[#This Row],[Cost Price]]*Shoe_Sales[[#This Row],[Quantity]]</f>
        <v>234</v>
      </c>
      <c r="M428">
        <f>Shoe_Sales[[#This Row],[Selling Price]]*Shoe_Sales[[#This Row],[Quantity]]</f>
        <v>456</v>
      </c>
      <c r="N428">
        <f>Shoe_Sales[[#This Row],[Revenue]]-Shoe_Sales[[#This Row],[Cost]]</f>
        <v>222</v>
      </c>
      <c r="O428" s="3">
        <f>Shoe_Sales[[#This Row],[Profit]]/Shoe_Sales[[#This Row],[Revenue]]</f>
        <v>0.48684210526315791</v>
      </c>
    </row>
    <row r="429" spans="1:15" x14ac:dyDescent="0.35">
      <c r="A429" s="2" t="s">
        <v>478</v>
      </c>
      <c r="B429" s="2">
        <v>46215</v>
      </c>
      <c r="C429" t="s">
        <v>33</v>
      </c>
      <c r="D429" t="s">
        <v>25</v>
      </c>
      <c r="E429" t="s">
        <v>14</v>
      </c>
      <c r="F429" t="s">
        <v>40</v>
      </c>
      <c r="G429" t="s">
        <v>12</v>
      </c>
      <c r="H429">
        <v>4</v>
      </c>
      <c r="I429" t="s">
        <v>47</v>
      </c>
      <c r="J429">
        <f>VLOOKUP(Shoe_Sales[[#This Row],[Product]],products!$A$1:$C$9,3,0)</f>
        <v>28</v>
      </c>
      <c r="K429">
        <f>VLOOKUP(Shoe_Sales[[#This Row],[Product]],products!$A$1:$C$9,2,FALSE)</f>
        <v>54</v>
      </c>
      <c r="L429">
        <f>Shoe_Sales[[#This Row],[Cost Price]]*Shoe_Sales[[#This Row],[Quantity]]</f>
        <v>112</v>
      </c>
      <c r="M429">
        <f>Shoe_Sales[[#This Row],[Selling Price]]*Shoe_Sales[[#This Row],[Quantity]]</f>
        <v>216</v>
      </c>
      <c r="N429">
        <f>Shoe_Sales[[#This Row],[Revenue]]-Shoe_Sales[[#This Row],[Cost]]</f>
        <v>104</v>
      </c>
      <c r="O429" s="3">
        <f>Shoe_Sales[[#This Row],[Profit]]/Shoe_Sales[[#This Row],[Revenue]]</f>
        <v>0.48148148148148145</v>
      </c>
    </row>
    <row r="430" spans="1:15" x14ac:dyDescent="0.35">
      <c r="A430" s="2" t="s">
        <v>479</v>
      </c>
      <c r="B430" s="2">
        <v>46215</v>
      </c>
      <c r="C430" t="s">
        <v>39</v>
      </c>
      <c r="D430" t="s">
        <v>10</v>
      </c>
      <c r="E430" t="s">
        <v>14</v>
      </c>
      <c r="F430" t="s">
        <v>17</v>
      </c>
      <c r="G430" t="s">
        <v>30</v>
      </c>
      <c r="H430">
        <v>6</v>
      </c>
      <c r="I430" t="s">
        <v>47</v>
      </c>
      <c r="J430">
        <f>VLOOKUP(Shoe_Sales[[#This Row],[Product]],products!$A$1:$C$9,3,0)</f>
        <v>72</v>
      </c>
      <c r="K430">
        <f>VLOOKUP(Shoe_Sales[[#This Row],[Product]],products!$A$1:$C$9,2,FALSE)</f>
        <v>128</v>
      </c>
      <c r="L430">
        <f>Shoe_Sales[[#This Row],[Cost Price]]*Shoe_Sales[[#This Row],[Quantity]]</f>
        <v>432</v>
      </c>
      <c r="M430">
        <f>Shoe_Sales[[#This Row],[Selling Price]]*Shoe_Sales[[#This Row],[Quantity]]</f>
        <v>768</v>
      </c>
      <c r="N430">
        <f>Shoe_Sales[[#This Row],[Revenue]]-Shoe_Sales[[#This Row],[Cost]]</f>
        <v>336</v>
      </c>
      <c r="O430" s="3">
        <f>Shoe_Sales[[#This Row],[Profit]]/Shoe_Sales[[#This Row],[Revenue]]</f>
        <v>0.4375</v>
      </c>
    </row>
    <row r="431" spans="1:15" x14ac:dyDescent="0.35">
      <c r="A431" s="2" t="s">
        <v>480</v>
      </c>
      <c r="B431" s="2">
        <v>46216</v>
      </c>
      <c r="C431" t="s">
        <v>38</v>
      </c>
      <c r="D431" t="s">
        <v>10</v>
      </c>
      <c r="E431" t="s">
        <v>16</v>
      </c>
      <c r="F431" t="s">
        <v>40</v>
      </c>
      <c r="G431" t="s">
        <v>26</v>
      </c>
      <c r="H431">
        <v>10</v>
      </c>
      <c r="I431" t="s">
        <v>47</v>
      </c>
      <c r="J431">
        <f>VLOOKUP(Shoe_Sales[[#This Row],[Product]],products!$A$1:$C$9,3,0)</f>
        <v>64</v>
      </c>
      <c r="K431">
        <f>VLOOKUP(Shoe_Sales[[#This Row],[Product]],products!$A$1:$C$9,2,FALSE)</f>
        <v>112</v>
      </c>
      <c r="L431">
        <f>Shoe_Sales[[#This Row],[Cost Price]]*Shoe_Sales[[#This Row],[Quantity]]</f>
        <v>640</v>
      </c>
      <c r="M431">
        <f>Shoe_Sales[[#This Row],[Selling Price]]*Shoe_Sales[[#This Row],[Quantity]]</f>
        <v>1120</v>
      </c>
      <c r="N431">
        <f>Shoe_Sales[[#This Row],[Revenue]]-Shoe_Sales[[#This Row],[Cost]]</f>
        <v>480</v>
      </c>
      <c r="O431" s="3">
        <f>Shoe_Sales[[#This Row],[Profit]]/Shoe_Sales[[#This Row],[Revenue]]</f>
        <v>0.42857142857142855</v>
      </c>
    </row>
    <row r="432" spans="1:15" x14ac:dyDescent="0.35">
      <c r="A432" s="2" t="s">
        <v>481</v>
      </c>
      <c r="B432" s="2">
        <v>46216</v>
      </c>
      <c r="C432" t="s">
        <v>42</v>
      </c>
      <c r="D432" t="s">
        <v>25</v>
      </c>
      <c r="E432" t="s">
        <v>7</v>
      </c>
      <c r="F432" t="s">
        <v>17</v>
      </c>
      <c r="G432" t="s">
        <v>15</v>
      </c>
      <c r="H432">
        <v>8</v>
      </c>
      <c r="I432" t="s">
        <v>48</v>
      </c>
      <c r="J432">
        <f>VLOOKUP(Shoe_Sales[[#This Row],[Product]],products!$A$1:$C$9,3,0)</f>
        <v>47</v>
      </c>
      <c r="K432">
        <f>VLOOKUP(Shoe_Sales[[#This Row],[Product]],products!$A$1:$C$9,2,FALSE)</f>
        <v>89</v>
      </c>
      <c r="L432">
        <f>Shoe_Sales[[#This Row],[Cost Price]]*Shoe_Sales[[#This Row],[Quantity]]</f>
        <v>376</v>
      </c>
      <c r="M432">
        <f>Shoe_Sales[[#This Row],[Selling Price]]*Shoe_Sales[[#This Row],[Quantity]]</f>
        <v>712</v>
      </c>
      <c r="N432">
        <f>Shoe_Sales[[#This Row],[Revenue]]-Shoe_Sales[[#This Row],[Cost]]</f>
        <v>336</v>
      </c>
      <c r="O432" s="3">
        <f>Shoe_Sales[[#This Row],[Profit]]/Shoe_Sales[[#This Row],[Revenue]]</f>
        <v>0.47191011235955055</v>
      </c>
    </row>
    <row r="433" spans="1:15" x14ac:dyDescent="0.35">
      <c r="A433" s="2" t="s">
        <v>482</v>
      </c>
      <c r="B433" s="2">
        <v>46216</v>
      </c>
      <c r="C433" t="s">
        <v>27</v>
      </c>
      <c r="D433" t="s">
        <v>10</v>
      </c>
      <c r="E433" t="s">
        <v>11</v>
      </c>
      <c r="F433" t="s">
        <v>17</v>
      </c>
      <c r="G433" t="s">
        <v>37</v>
      </c>
      <c r="H433">
        <v>12</v>
      </c>
      <c r="I433" t="s">
        <v>47</v>
      </c>
      <c r="J433">
        <f>VLOOKUP(Shoe_Sales[[#This Row],[Product]],products!$A$1:$C$9,3,0)</f>
        <v>14</v>
      </c>
      <c r="K433">
        <f>VLOOKUP(Shoe_Sales[[#This Row],[Product]],products!$A$1:$C$9,2,FALSE)</f>
        <v>32</v>
      </c>
      <c r="L433">
        <f>Shoe_Sales[[#This Row],[Cost Price]]*Shoe_Sales[[#This Row],[Quantity]]</f>
        <v>168</v>
      </c>
      <c r="M433">
        <f>Shoe_Sales[[#This Row],[Selling Price]]*Shoe_Sales[[#This Row],[Quantity]]</f>
        <v>384</v>
      </c>
      <c r="N433">
        <f>Shoe_Sales[[#This Row],[Revenue]]-Shoe_Sales[[#This Row],[Cost]]</f>
        <v>216</v>
      </c>
      <c r="O433" s="3">
        <f>Shoe_Sales[[#This Row],[Profit]]/Shoe_Sales[[#This Row],[Revenue]]</f>
        <v>0.5625</v>
      </c>
    </row>
    <row r="434" spans="1:15" x14ac:dyDescent="0.35">
      <c r="A434" s="2" t="s">
        <v>483</v>
      </c>
      <c r="B434" s="2">
        <v>46217</v>
      </c>
      <c r="C434" t="s">
        <v>38</v>
      </c>
      <c r="D434" t="s">
        <v>10</v>
      </c>
      <c r="E434" t="s">
        <v>20</v>
      </c>
      <c r="F434" t="s">
        <v>29</v>
      </c>
      <c r="G434" t="s">
        <v>32</v>
      </c>
      <c r="H434">
        <v>5</v>
      </c>
      <c r="I434" t="s">
        <v>48</v>
      </c>
      <c r="J434">
        <f>VLOOKUP(Shoe_Sales[[#This Row],[Product]],products!$A$1:$C$9,3,0)</f>
        <v>64</v>
      </c>
      <c r="K434">
        <f>VLOOKUP(Shoe_Sales[[#This Row],[Product]],products!$A$1:$C$9,2,FALSE)</f>
        <v>112</v>
      </c>
      <c r="L434">
        <f>Shoe_Sales[[#This Row],[Cost Price]]*Shoe_Sales[[#This Row],[Quantity]]</f>
        <v>320</v>
      </c>
      <c r="M434">
        <f>Shoe_Sales[[#This Row],[Selling Price]]*Shoe_Sales[[#This Row],[Quantity]]</f>
        <v>560</v>
      </c>
      <c r="N434">
        <f>Shoe_Sales[[#This Row],[Revenue]]-Shoe_Sales[[#This Row],[Cost]]</f>
        <v>240</v>
      </c>
      <c r="O434" s="3">
        <f>Shoe_Sales[[#This Row],[Profit]]/Shoe_Sales[[#This Row],[Revenue]]</f>
        <v>0.42857142857142855</v>
      </c>
    </row>
    <row r="435" spans="1:15" x14ac:dyDescent="0.35">
      <c r="A435" s="2" t="s">
        <v>484</v>
      </c>
      <c r="B435" s="2">
        <v>46218</v>
      </c>
      <c r="C435" t="s">
        <v>42</v>
      </c>
      <c r="D435" t="s">
        <v>25</v>
      </c>
      <c r="E435" t="s">
        <v>14</v>
      </c>
      <c r="F435" t="s">
        <v>8</v>
      </c>
      <c r="G435" t="s">
        <v>18</v>
      </c>
      <c r="H435">
        <v>2</v>
      </c>
      <c r="I435" t="s">
        <v>45</v>
      </c>
      <c r="J435">
        <f>VLOOKUP(Shoe_Sales[[#This Row],[Product]],products!$A$1:$C$9,3,0)</f>
        <v>47</v>
      </c>
      <c r="K435">
        <f>VLOOKUP(Shoe_Sales[[#This Row],[Product]],products!$A$1:$C$9,2,FALSE)</f>
        <v>89</v>
      </c>
      <c r="L435">
        <f>Shoe_Sales[[#This Row],[Cost Price]]*Shoe_Sales[[#This Row],[Quantity]]</f>
        <v>94</v>
      </c>
      <c r="M435">
        <f>Shoe_Sales[[#This Row],[Selling Price]]*Shoe_Sales[[#This Row],[Quantity]]</f>
        <v>178</v>
      </c>
      <c r="N435">
        <f>Shoe_Sales[[#This Row],[Revenue]]-Shoe_Sales[[#This Row],[Cost]]</f>
        <v>84</v>
      </c>
      <c r="O435" s="3">
        <f>Shoe_Sales[[#This Row],[Profit]]/Shoe_Sales[[#This Row],[Revenue]]</f>
        <v>0.47191011235955055</v>
      </c>
    </row>
    <row r="436" spans="1:15" x14ac:dyDescent="0.35">
      <c r="A436" s="2" t="s">
        <v>485</v>
      </c>
      <c r="B436" s="2">
        <v>46218</v>
      </c>
      <c r="C436" t="s">
        <v>27</v>
      </c>
      <c r="D436" t="s">
        <v>10</v>
      </c>
      <c r="E436" t="s">
        <v>14</v>
      </c>
      <c r="F436" t="s">
        <v>8</v>
      </c>
      <c r="G436" t="s">
        <v>26</v>
      </c>
      <c r="H436">
        <v>4</v>
      </c>
      <c r="I436" t="s">
        <v>45</v>
      </c>
      <c r="J436">
        <f>VLOOKUP(Shoe_Sales[[#This Row],[Product]],products!$A$1:$C$9,3,0)</f>
        <v>14</v>
      </c>
      <c r="K436">
        <f>VLOOKUP(Shoe_Sales[[#This Row],[Product]],products!$A$1:$C$9,2,FALSE)</f>
        <v>32</v>
      </c>
      <c r="L436">
        <f>Shoe_Sales[[#This Row],[Cost Price]]*Shoe_Sales[[#This Row],[Quantity]]</f>
        <v>56</v>
      </c>
      <c r="M436">
        <f>Shoe_Sales[[#This Row],[Selling Price]]*Shoe_Sales[[#This Row],[Quantity]]</f>
        <v>128</v>
      </c>
      <c r="N436">
        <f>Shoe_Sales[[#This Row],[Revenue]]-Shoe_Sales[[#This Row],[Cost]]</f>
        <v>72</v>
      </c>
      <c r="O436" s="3">
        <f>Shoe_Sales[[#This Row],[Profit]]/Shoe_Sales[[#This Row],[Revenue]]</f>
        <v>0.5625</v>
      </c>
    </row>
    <row r="437" spans="1:15" x14ac:dyDescent="0.35">
      <c r="A437" s="2" t="s">
        <v>486</v>
      </c>
      <c r="B437" s="2">
        <v>46218</v>
      </c>
      <c r="C437" t="s">
        <v>42</v>
      </c>
      <c r="D437" t="s">
        <v>25</v>
      </c>
      <c r="E437" t="s">
        <v>11</v>
      </c>
      <c r="F437" t="s">
        <v>17</v>
      </c>
      <c r="G437" t="s">
        <v>32</v>
      </c>
      <c r="H437">
        <v>6</v>
      </c>
      <c r="I437" t="s">
        <v>45</v>
      </c>
      <c r="J437">
        <f>VLOOKUP(Shoe_Sales[[#This Row],[Product]],products!$A$1:$C$9,3,0)</f>
        <v>47</v>
      </c>
      <c r="K437">
        <f>VLOOKUP(Shoe_Sales[[#This Row],[Product]],products!$A$1:$C$9,2,FALSE)</f>
        <v>89</v>
      </c>
      <c r="L437">
        <f>Shoe_Sales[[#This Row],[Cost Price]]*Shoe_Sales[[#This Row],[Quantity]]</f>
        <v>282</v>
      </c>
      <c r="M437">
        <f>Shoe_Sales[[#This Row],[Selling Price]]*Shoe_Sales[[#This Row],[Quantity]]</f>
        <v>534</v>
      </c>
      <c r="N437">
        <f>Shoe_Sales[[#This Row],[Revenue]]-Shoe_Sales[[#This Row],[Cost]]</f>
        <v>252</v>
      </c>
      <c r="O437" s="3">
        <f>Shoe_Sales[[#This Row],[Profit]]/Shoe_Sales[[#This Row],[Revenue]]</f>
        <v>0.47191011235955055</v>
      </c>
    </row>
    <row r="438" spans="1:15" x14ac:dyDescent="0.35">
      <c r="A438" s="2" t="s">
        <v>487</v>
      </c>
      <c r="B438" s="2">
        <v>46218</v>
      </c>
      <c r="C438" t="s">
        <v>33</v>
      </c>
      <c r="D438" t="s">
        <v>10</v>
      </c>
      <c r="E438" t="s">
        <v>14</v>
      </c>
      <c r="F438" t="s">
        <v>8</v>
      </c>
      <c r="G438" t="s">
        <v>15</v>
      </c>
      <c r="H438">
        <v>9</v>
      </c>
      <c r="I438" t="s">
        <v>47</v>
      </c>
      <c r="J438">
        <f>VLOOKUP(Shoe_Sales[[#This Row],[Product]],products!$A$1:$C$9,3,0)</f>
        <v>28</v>
      </c>
      <c r="K438">
        <f>VLOOKUP(Shoe_Sales[[#This Row],[Product]],products!$A$1:$C$9,2,FALSE)</f>
        <v>54</v>
      </c>
      <c r="L438">
        <f>Shoe_Sales[[#This Row],[Cost Price]]*Shoe_Sales[[#This Row],[Quantity]]</f>
        <v>252</v>
      </c>
      <c r="M438">
        <f>Shoe_Sales[[#This Row],[Selling Price]]*Shoe_Sales[[#This Row],[Quantity]]</f>
        <v>486</v>
      </c>
      <c r="N438">
        <f>Shoe_Sales[[#This Row],[Revenue]]-Shoe_Sales[[#This Row],[Cost]]</f>
        <v>234</v>
      </c>
      <c r="O438" s="3">
        <f>Shoe_Sales[[#This Row],[Profit]]/Shoe_Sales[[#This Row],[Revenue]]</f>
        <v>0.48148148148148145</v>
      </c>
    </row>
    <row r="439" spans="1:15" x14ac:dyDescent="0.35">
      <c r="A439" s="2" t="s">
        <v>488</v>
      </c>
      <c r="B439" s="2">
        <v>46219</v>
      </c>
      <c r="C439" t="s">
        <v>41</v>
      </c>
      <c r="D439" t="s">
        <v>25</v>
      </c>
      <c r="E439" t="s">
        <v>11</v>
      </c>
      <c r="F439" t="s">
        <v>29</v>
      </c>
      <c r="G439" t="s">
        <v>36</v>
      </c>
      <c r="H439">
        <v>14</v>
      </c>
      <c r="I439" t="s">
        <v>46</v>
      </c>
      <c r="J439">
        <f>VLOOKUP(Shoe_Sales[[#This Row],[Product]],products!$A$1:$C$9,3,0)</f>
        <v>39</v>
      </c>
      <c r="K439">
        <f>VLOOKUP(Shoe_Sales[[#This Row],[Product]],products!$A$1:$C$9,2,FALSE)</f>
        <v>76</v>
      </c>
      <c r="L439">
        <f>Shoe_Sales[[#This Row],[Cost Price]]*Shoe_Sales[[#This Row],[Quantity]]</f>
        <v>546</v>
      </c>
      <c r="M439">
        <f>Shoe_Sales[[#This Row],[Selling Price]]*Shoe_Sales[[#This Row],[Quantity]]</f>
        <v>1064</v>
      </c>
      <c r="N439">
        <f>Shoe_Sales[[#This Row],[Revenue]]-Shoe_Sales[[#This Row],[Cost]]</f>
        <v>518</v>
      </c>
      <c r="O439" s="3">
        <f>Shoe_Sales[[#This Row],[Profit]]/Shoe_Sales[[#This Row],[Revenue]]</f>
        <v>0.48684210526315791</v>
      </c>
    </row>
    <row r="440" spans="1:15" x14ac:dyDescent="0.35">
      <c r="A440" s="2" t="s">
        <v>489</v>
      </c>
      <c r="B440" s="2">
        <v>46219</v>
      </c>
      <c r="C440" t="s">
        <v>13</v>
      </c>
      <c r="D440" t="s">
        <v>25</v>
      </c>
      <c r="E440" t="s">
        <v>7</v>
      </c>
      <c r="F440" t="s">
        <v>35</v>
      </c>
      <c r="G440" t="s">
        <v>23</v>
      </c>
      <c r="H440">
        <v>15</v>
      </c>
      <c r="I440" t="s">
        <v>46</v>
      </c>
      <c r="J440">
        <f>VLOOKUP(Shoe_Sales[[#This Row],[Product]],products!$A$1:$C$9,3,0)</f>
        <v>67</v>
      </c>
      <c r="K440">
        <f>VLOOKUP(Shoe_Sales[[#This Row],[Product]],products!$A$1:$C$9,2,FALSE)</f>
        <v>119</v>
      </c>
      <c r="L440">
        <f>Shoe_Sales[[#This Row],[Cost Price]]*Shoe_Sales[[#This Row],[Quantity]]</f>
        <v>1005</v>
      </c>
      <c r="M440">
        <f>Shoe_Sales[[#This Row],[Selling Price]]*Shoe_Sales[[#This Row],[Quantity]]</f>
        <v>1785</v>
      </c>
      <c r="N440">
        <f>Shoe_Sales[[#This Row],[Revenue]]-Shoe_Sales[[#This Row],[Cost]]</f>
        <v>780</v>
      </c>
      <c r="O440" s="3">
        <f>Shoe_Sales[[#This Row],[Profit]]/Shoe_Sales[[#This Row],[Revenue]]</f>
        <v>0.43697478991596639</v>
      </c>
    </row>
    <row r="441" spans="1:15" x14ac:dyDescent="0.35">
      <c r="A441" s="2" t="s">
        <v>490</v>
      </c>
      <c r="B441" s="2">
        <v>46219</v>
      </c>
      <c r="C441" t="s">
        <v>38</v>
      </c>
      <c r="D441" t="s">
        <v>25</v>
      </c>
      <c r="E441" t="s">
        <v>14</v>
      </c>
      <c r="F441" t="s">
        <v>29</v>
      </c>
      <c r="G441" t="s">
        <v>26</v>
      </c>
      <c r="H441">
        <v>12</v>
      </c>
      <c r="I441" t="s">
        <v>48</v>
      </c>
      <c r="J441">
        <f>VLOOKUP(Shoe_Sales[[#This Row],[Product]],products!$A$1:$C$9,3,0)</f>
        <v>64</v>
      </c>
      <c r="K441">
        <f>VLOOKUP(Shoe_Sales[[#This Row],[Product]],products!$A$1:$C$9,2,FALSE)</f>
        <v>112</v>
      </c>
      <c r="L441">
        <f>Shoe_Sales[[#This Row],[Cost Price]]*Shoe_Sales[[#This Row],[Quantity]]</f>
        <v>768</v>
      </c>
      <c r="M441">
        <f>Shoe_Sales[[#This Row],[Selling Price]]*Shoe_Sales[[#This Row],[Quantity]]</f>
        <v>1344</v>
      </c>
      <c r="N441">
        <f>Shoe_Sales[[#This Row],[Revenue]]-Shoe_Sales[[#This Row],[Cost]]</f>
        <v>576</v>
      </c>
      <c r="O441" s="3">
        <f>Shoe_Sales[[#This Row],[Profit]]/Shoe_Sales[[#This Row],[Revenue]]</f>
        <v>0.42857142857142855</v>
      </c>
    </row>
    <row r="442" spans="1:15" x14ac:dyDescent="0.35">
      <c r="A442" s="2" t="s">
        <v>491</v>
      </c>
      <c r="B442" s="2">
        <v>46219</v>
      </c>
      <c r="C442" t="s">
        <v>13</v>
      </c>
      <c r="D442" t="s">
        <v>25</v>
      </c>
      <c r="E442" t="s">
        <v>11</v>
      </c>
      <c r="F442" t="s">
        <v>8</v>
      </c>
      <c r="G442" t="s">
        <v>34</v>
      </c>
      <c r="H442">
        <v>11</v>
      </c>
      <c r="I442" t="s">
        <v>46</v>
      </c>
      <c r="J442">
        <f>VLOOKUP(Shoe_Sales[[#This Row],[Product]],products!$A$1:$C$9,3,0)</f>
        <v>67</v>
      </c>
      <c r="K442">
        <f>VLOOKUP(Shoe_Sales[[#This Row],[Product]],products!$A$1:$C$9,2,FALSE)</f>
        <v>119</v>
      </c>
      <c r="L442">
        <f>Shoe_Sales[[#This Row],[Cost Price]]*Shoe_Sales[[#This Row],[Quantity]]</f>
        <v>737</v>
      </c>
      <c r="M442">
        <f>Shoe_Sales[[#This Row],[Selling Price]]*Shoe_Sales[[#This Row],[Quantity]]</f>
        <v>1309</v>
      </c>
      <c r="N442">
        <f>Shoe_Sales[[#This Row],[Revenue]]-Shoe_Sales[[#This Row],[Cost]]</f>
        <v>572</v>
      </c>
      <c r="O442" s="3">
        <f>Shoe_Sales[[#This Row],[Profit]]/Shoe_Sales[[#This Row],[Revenue]]</f>
        <v>0.43697478991596639</v>
      </c>
    </row>
    <row r="443" spans="1:15" x14ac:dyDescent="0.35">
      <c r="A443" s="2" t="s">
        <v>492</v>
      </c>
      <c r="B443" s="2">
        <v>46219</v>
      </c>
      <c r="C443" t="s">
        <v>41</v>
      </c>
      <c r="D443" t="s">
        <v>31</v>
      </c>
      <c r="E443" t="s">
        <v>14</v>
      </c>
      <c r="F443" t="s">
        <v>29</v>
      </c>
      <c r="G443" t="s">
        <v>15</v>
      </c>
      <c r="H443">
        <v>15</v>
      </c>
      <c r="I443" t="s">
        <v>47</v>
      </c>
      <c r="J443">
        <f>VLOOKUP(Shoe_Sales[[#This Row],[Product]],products!$A$1:$C$9,3,0)</f>
        <v>39</v>
      </c>
      <c r="K443">
        <f>VLOOKUP(Shoe_Sales[[#This Row],[Product]],products!$A$1:$C$9,2,FALSE)</f>
        <v>76</v>
      </c>
      <c r="L443">
        <f>Shoe_Sales[[#This Row],[Cost Price]]*Shoe_Sales[[#This Row],[Quantity]]</f>
        <v>585</v>
      </c>
      <c r="M443">
        <f>Shoe_Sales[[#This Row],[Selling Price]]*Shoe_Sales[[#This Row],[Quantity]]</f>
        <v>1140</v>
      </c>
      <c r="N443">
        <f>Shoe_Sales[[#This Row],[Revenue]]-Shoe_Sales[[#This Row],[Cost]]</f>
        <v>555</v>
      </c>
      <c r="O443" s="3">
        <f>Shoe_Sales[[#This Row],[Profit]]/Shoe_Sales[[#This Row],[Revenue]]</f>
        <v>0.48684210526315791</v>
      </c>
    </row>
    <row r="444" spans="1:15" x14ac:dyDescent="0.35">
      <c r="A444" s="2" t="s">
        <v>493</v>
      </c>
      <c r="B444" s="2">
        <v>46220</v>
      </c>
      <c r="C444" t="s">
        <v>39</v>
      </c>
      <c r="D444" t="s">
        <v>25</v>
      </c>
      <c r="E444" t="s">
        <v>11</v>
      </c>
      <c r="F444" t="s">
        <v>17</v>
      </c>
      <c r="G444" t="s">
        <v>21</v>
      </c>
      <c r="H444">
        <v>15</v>
      </c>
      <c r="I444" t="s">
        <v>46</v>
      </c>
      <c r="J444">
        <f>VLOOKUP(Shoe_Sales[[#This Row],[Product]],products!$A$1:$C$9,3,0)</f>
        <v>72</v>
      </c>
      <c r="K444">
        <f>VLOOKUP(Shoe_Sales[[#This Row],[Product]],products!$A$1:$C$9,2,FALSE)</f>
        <v>128</v>
      </c>
      <c r="L444">
        <f>Shoe_Sales[[#This Row],[Cost Price]]*Shoe_Sales[[#This Row],[Quantity]]</f>
        <v>1080</v>
      </c>
      <c r="M444">
        <f>Shoe_Sales[[#This Row],[Selling Price]]*Shoe_Sales[[#This Row],[Quantity]]</f>
        <v>1920</v>
      </c>
      <c r="N444">
        <f>Shoe_Sales[[#This Row],[Revenue]]-Shoe_Sales[[#This Row],[Cost]]</f>
        <v>840</v>
      </c>
      <c r="O444" s="3">
        <f>Shoe_Sales[[#This Row],[Profit]]/Shoe_Sales[[#This Row],[Revenue]]</f>
        <v>0.4375</v>
      </c>
    </row>
    <row r="445" spans="1:15" x14ac:dyDescent="0.35">
      <c r="A445" s="2" t="s">
        <v>494</v>
      </c>
      <c r="B445" s="2">
        <v>46220</v>
      </c>
      <c r="C445" t="s">
        <v>42</v>
      </c>
      <c r="D445" t="s">
        <v>25</v>
      </c>
      <c r="E445" t="s">
        <v>7</v>
      </c>
      <c r="F445" t="s">
        <v>8</v>
      </c>
      <c r="G445" t="s">
        <v>28</v>
      </c>
      <c r="H445">
        <v>1</v>
      </c>
      <c r="I445" t="s">
        <v>47</v>
      </c>
      <c r="J445">
        <f>VLOOKUP(Shoe_Sales[[#This Row],[Product]],products!$A$1:$C$9,3,0)</f>
        <v>47</v>
      </c>
      <c r="K445">
        <f>VLOOKUP(Shoe_Sales[[#This Row],[Product]],products!$A$1:$C$9,2,FALSE)</f>
        <v>89</v>
      </c>
      <c r="L445">
        <f>Shoe_Sales[[#This Row],[Cost Price]]*Shoe_Sales[[#This Row],[Quantity]]</f>
        <v>47</v>
      </c>
      <c r="M445">
        <f>Shoe_Sales[[#This Row],[Selling Price]]*Shoe_Sales[[#This Row],[Quantity]]</f>
        <v>89</v>
      </c>
      <c r="N445">
        <f>Shoe_Sales[[#This Row],[Revenue]]-Shoe_Sales[[#This Row],[Cost]]</f>
        <v>42</v>
      </c>
      <c r="O445" s="3">
        <f>Shoe_Sales[[#This Row],[Profit]]/Shoe_Sales[[#This Row],[Revenue]]</f>
        <v>0.47191011235955055</v>
      </c>
    </row>
    <row r="446" spans="1:15" x14ac:dyDescent="0.35">
      <c r="A446" s="2" t="s">
        <v>495</v>
      </c>
      <c r="B446" s="2">
        <v>46220</v>
      </c>
      <c r="C446" t="s">
        <v>22</v>
      </c>
      <c r="D446" t="s">
        <v>31</v>
      </c>
      <c r="E446" t="s">
        <v>20</v>
      </c>
      <c r="F446" t="s">
        <v>8</v>
      </c>
      <c r="G446" t="s">
        <v>15</v>
      </c>
      <c r="H446">
        <v>13</v>
      </c>
      <c r="I446" t="s">
        <v>48</v>
      </c>
      <c r="J446">
        <f>VLOOKUP(Shoe_Sales[[#This Row],[Product]],products!$A$1:$C$9,3,0)</f>
        <v>58</v>
      </c>
      <c r="K446">
        <f>VLOOKUP(Shoe_Sales[[#This Row],[Product]],products!$A$1:$C$9,2,FALSE)</f>
        <v>105</v>
      </c>
      <c r="L446">
        <f>Shoe_Sales[[#This Row],[Cost Price]]*Shoe_Sales[[#This Row],[Quantity]]</f>
        <v>754</v>
      </c>
      <c r="M446">
        <f>Shoe_Sales[[#This Row],[Selling Price]]*Shoe_Sales[[#This Row],[Quantity]]</f>
        <v>1365</v>
      </c>
      <c r="N446">
        <f>Shoe_Sales[[#This Row],[Revenue]]-Shoe_Sales[[#This Row],[Cost]]</f>
        <v>611</v>
      </c>
      <c r="O446" s="3">
        <f>Shoe_Sales[[#This Row],[Profit]]/Shoe_Sales[[#This Row],[Revenue]]</f>
        <v>0.44761904761904764</v>
      </c>
    </row>
    <row r="447" spans="1:15" x14ac:dyDescent="0.35">
      <c r="A447" s="2" t="s">
        <v>496</v>
      </c>
      <c r="B447" s="2">
        <v>46220</v>
      </c>
      <c r="C447" t="s">
        <v>22</v>
      </c>
      <c r="D447" t="s">
        <v>10</v>
      </c>
      <c r="E447" t="s">
        <v>16</v>
      </c>
      <c r="F447" t="s">
        <v>35</v>
      </c>
      <c r="G447" t="s">
        <v>12</v>
      </c>
      <c r="H447">
        <v>5</v>
      </c>
      <c r="I447" t="s">
        <v>47</v>
      </c>
      <c r="J447">
        <f>VLOOKUP(Shoe_Sales[[#This Row],[Product]],products!$A$1:$C$9,3,0)</f>
        <v>58</v>
      </c>
      <c r="K447">
        <f>VLOOKUP(Shoe_Sales[[#This Row],[Product]],products!$A$1:$C$9,2,FALSE)</f>
        <v>105</v>
      </c>
      <c r="L447">
        <f>Shoe_Sales[[#This Row],[Cost Price]]*Shoe_Sales[[#This Row],[Quantity]]</f>
        <v>290</v>
      </c>
      <c r="M447">
        <f>Shoe_Sales[[#This Row],[Selling Price]]*Shoe_Sales[[#This Row],[Quantity]]</f>
        <v>525</v>
      </c>
      <c r="N447">
        <f>Shoe_Sales[[#This Row],[Revenue]]-Shoe_Sales[[#This Row],[Cost]]</f>
        <v>235</v>
      </c>
      <c r="O447" s="3">
        <f>Shoe_Sales[[#This Row],[Profit]]/Shoe_Sales[[#This Row],[Revenue]]</f>
        <v>0.44761904761904764</v>
      </c>
    </row>
    <row r="448" spans="1:15" x14ac:dyDescent="0.35">
      <c r="A448" s="2" t="s">
        <v>497</v>
      </c>
      <c r="B448" s="2">
        <v>46220</v>
      </c>
      <c r="C448" t="s">
        <v>22</v>
      </c>
      <c r="D448" t="s">
        <v>10</v>
      </c>
      <c r="E448" t="s">
        <v>7</v>
      </c>
      <c r="F448" t="s">
        <v>40</v>
      </c>
      <c r="G448" t="s">
        <v>15</v>
      </c>
      <c r="H448">
        <v>9</v>
      </c>
      <c r="I448" t="s">
        <v>48</v>
      </c>
      <c r="J448">
        <f>VLOOKUP(Shoe_Sales[[#This Row],[Product]],products!$A$1:$C$9,3,0)</f>
        <v>58</v>
      </c>
      <c r="K448">
        <f>VLOOKUP(Shoe_Sales[[#This Row],[Product]],products!$A$1:$C$9,2,FALSE)</f>
        <v>105</v>
      </c>
      <c r="L448">
        <f>Shoe_Sales[[#This Row],[Cost Price]]*Shoe_Sales[[#This Row],[Quantity]]</f>
        <v>522</v>
      </c>
      <c r="M448">
        <f>Shoe_Sales[[#This Row],[Selling Price]]*Shoe_Sales[[#This Row],[Quantity]]</f>
        <v>945</v>
      </c>
      <c r="N448">
        <f>Shoe_Sales[[#This Row],[Revenue]]-Shoe_Sales[[#This Row],[Cost]]</f>
        <v>423</v>
      </c>
      <c r="O448" s="3">
        <f>Shoe_Sales[[#This Row],[Profit]]/Shoe_Sales[[#This Row],[Revenue]]</f>
        <v>0.44761904761904764</v>
      </c>
    </row>
    <row r="449" spans="1:15" x14ac:dyDescent="0.35">
      <c r="A449" s="2" t="s">
        <v>498</v>
      </c>
      <c r="B449" s="2">
        <v>46221</v>
      </c>
      <c r="C449" t="s">
        <v>33</v>
      </c>
      <c r="D449" t="s">
        <v>31</v>
      </c>
      <c r="E449" t="s">
        <v>14</v>
      </c>
      <c r="F449" t="s">
        <v>35</v>
      </c>
      <c r="G449" t="s">
        <v>15</v>
      </c>
      <c r="H449">
        <v>4</v>
      </c>
      <c r="I449" t="s">
        <v>48</v>
      </c>
      <c r="J449">
        <f>VLOOKUP(Shoe_Sales[[#This Row],[Product]],products!$A$1:$C$9,3,0)</f>
        <v>28</v>
      </c>
      <c r="K449">
        <f>VLOOKUP(Shoe_Sales[[#This Row],[Product]],products!$A$1:$C$9,2,FALSE)</f>
        <v>54</v>
      </c>
      <c r="L449">
        <f>Shoe_Sales[[#This Row],[Cost Price]]*Shoe_Sales[[#This Row],[Quantity]]</f>
        <v>112</v>
      </c>
      <c r="M449">
        <f>Shoe_Sales[[#This Row],[Selling Price]]*Shoe_Sales[[#This Row],[Quantity]]</f>
        <v>216</v>
      </c>
      <c r="N449">
        <f>Shoe_Sales[[#This Row],[Revenue]]-Shoe_Sales[[#This Row],[Cost]]</f>
        <v>104</v>
      </c>
      <c r="O449" s="3">
        <f>Shoe_Sales[[#This Row],[Profit]]/Shoe_Sales[[#This Row],[Revenue]]</f>
        <v>0.48148148148148145</v>
      </c>
    </row>
    <row r="450" spans="1:15" x14ac:dyDescent="0.35">
      <c r="A450" s="2" t="s">
        <v>499</v>
      </c>
      <c r="B450" s="2">
        <v>46221</v>
      </c>
      <c r="C450" t="s">
        <v>27</v>
      </c>
      <c r="D450" t="s">
        <v>31</v>
      </c>
      <c r="E450" t="s">
        <v>11</v>
      </c>
      <c r="F450" t="s">
        <v>35</v>
      </c>
      <c r="G450" t="s">
        <v>28</v>
      </c>
      <c r="H450">
        <v>1</v>
      </c>
      <c r="I450" t="s">
        <v>46</v>
      </c>
      <c r="J450">
        <f>VLOOKUP(Shoe_Sales[[#This Row],[Product]],products!$A$1:$C$9,3,0)</f>
        <v>14</v>
      </c>
      <c r="K450">
        <f>VLOOKUP(Shoe_Sales[[#This Row],[Product]],products!$A$1:$C$9,2,FALSE)</f>
        <v>32</v>
      </c>
      <c r="L450">
        <f>Shoe_Sales[[#This Row],[Cost Price]]*Shoe_Sales[[#This Row],[Quantity]]</f>
        <v>14</v>
      </c>
      <c r="M450">
        <f>Shoe_Sales[[#This Row],[Selling Price]]*Shoe_Sales[[#This Row],[Quantity]]</f>
        <v>32</v>
      </c>
      <c r="N450">
        <f>Shoe_Sales[[#This Row],[Revenue]]-Shoe_Sales[[#This Row],[Cost]]</f>
        <v>18</v>
      </c>
      <c r="O450" s="3">
        <f>Shoe_Sales[[#This Row],[Profit]]/Shoe_Sales[[#This Row],[Revenue]]</f>
        <v>0.5625</v>
      </c>
    </row>
    <row r="451" spans="1:15" x14ac:dyDescent="0.35">
      <c r="A451" s="2" t="s">
        <v>500</v>
      </c>
      <c r="B451" s="2">
        <v>46222</v>
      </c>
      <c r="C451" t="s">
        <v>27</v>
      </c>
      <c r="D451" t="s">
        <v>19</v>
      </c>
      <c r="E451" t="s">
        <v>11</v>
      </c>
      <c r="F451" t="s">
        <v>17</v>
      </c>
      <c r="G451" t="s">
        <v>34</v>
      </c>
      <c r="H451">
        <v>8</v>
      </c>
      <c r="I451" t="s">
        <v>47</v>
      </c>
      <c r="J451">
        <f>VLOOKUP(Shoe_Sales[[#This Row],[Product]],products!$A$1:$C$9,3,0)</f>
        <v>14</v>
      </c>
      <c r="K451">
        <f>VLOOKUP(Shoe_Sales[[#This Row],[Product]],products!$A$1:$C$9,2,FALSE)</f>
        <v>32</v>
      </c>
      <c r="L451">
        <f>Shoe_Sales[[#This Row],[Cost Price]]*Shoe_Sales[[#This Row],[Quantity]]</f>
        <v>112</v>
      </c>
      <c r="M451">
        <f>Shoe_Sales[[#This Row],[Selling Price]]*Shoe_Sales[[#This Row],[Quantity]]</f>
        <v>256</v>
      </c>
      <c r="N451">
        <f>Shoe_Sales[[#This Row],[Revenue]]-Shoe_Sales[[#This Row],[Cost]]</f>
        <v>144</v>
      </c>
      <c r="O451" s="3">
        <f>Shoe_Sales[[#This Row],[Profit]]/Shoe_Sales[[#This Row],[Revenue]]</f>
        <v>0.5625</v>
      </c>
    </row>
    <row r="452" spans="1:15" x14ac:dyDescent="0.35">
      <c r="A452" s="2" t="s">
        <v>501</v>
      </c>
      <c r="B452" s="2">
        <v>46223</v>
      </c>
      <c r="C452" t="s">
        <v>42</v>
      </c>
      <c r="D452" t="s">
        <v>19</v>
      </c>
      <c r="E452" t="s">
        <v>16</v>
      </c>
      <c r="F452" t="s">
        <v>17</v>
      </c>
      <c r="G452" t="s">
        <v>23</v>
      </c>
      <c r="H452">
        <v>10</v>
      </c>
      <c r="I452" t="s">
        <v>46</v>
      </c>
      <c r="J452">
        <f>VLOOKUP(Shoe_Sales[[#This Row],[Product]],products!$A$1:$C$9,3,0)</f>
        <v>47</v>
      </c>
      <c r="K452">
        <f>VLOOKUP(Shoe_Sales[[#This Row],[Product]],products!$A$1:$C$9,2,FALSE)</f>
        <v>89</v>
      </c>
      <c r="L452">
        <f>Shoe_Sales[[#This Row],[Cost Price]]*Shoe_Sales[[#This Row],[Quantity]]</f>
        <v>470</v>
      </c>
      <c r="M452">
        <f>Shoe_Sales[[#This Row],[Selling Price]]*Shoe_Sales[[#This Row],[Quantity]]</f>
        <v>890</v>
      </c>
      <c r="N452">
        <f>Shoe_Sales[[#This Row],[Revenue]]-Shoe_Sales[[#This Row],[Cost]]</f>
        <v>420</v>
      </c>
      <c r="O452" s="3">
        <f>Shoe_Sales[[#This Row],[Profit]]/Shoe_Sales[[#This Row],[Revenue]]</f>
        <v>0.47191011235955055</v>
      </c>
    </row>
    <row r="453" spans="1:15" x14ac:dyDescent="0.35">
      <c r="A453" s="2" t="s">
        <v>502</v>
      </c>
      <c r="B453" s="2">
        <v>46223</v>
      </c>
      <c r="C453" t="s">
        <v>38</v>
      </c>
      <c r="D453" t="s">
        <v>25</v>
      </c>
      <c r="E453" t="s">
        <v>11</v>
      </c>
      <c r="F453" t="s">
        <v>17</v>
      </c>
      <c r="G453" t="s">
        <v>24</v>
      </c>
      <c r="H453">
        <v>4</v>
      </c>
      <c r="I453" t="s">
        <v>46</v>
      </c>
      <c r="J453">
        <f>VLOOKUP(Shoe_Sales[[#This Row],[Product]],products!$A$1:$C$9,3,0)</f>
        <v>64</v>
      </c>
      <c r="K453">
        <f>VLOOKUP(Shoe_Sales[[#This Row],[Product]],products!$A$1:$C$9,2,FALSE)</f>
        <v>112</v>
      </c>
      <c r="L453">
        <f>Shoe_Sales[[#This Row],[Cost Price]]*Shoe_Sales[[#This Row],[Quantity]]</f>
        <v>256</v>
      </c>
      <c r="M453">
        <f>Shoe_Sales[[#This Row],[Selling Price]]*Shoe_Sales[[#This Row],[Quantity]]</f>
        <v>448</v>
      </c>
      <c r="N453">
        <f>Shoe_Sales[[#This Row],[Revenue]]-Shoe_Sales[[#This Row],[Cost]]</f>
        <v>192</v>
      </c>
      <c r="O453" s="3">
        <f>Shoe_Sales[[#This Row],[Profit]]/Shoe_Sales[[#This Row],[Revenue]]</f>
        <v>0.42857142857142855</v>
      </c>
    </row>
    <row r="454" spans="1:15" x14ac:dyDescent="0.35">
      <c r="A454" s="2" t="s">
        <v>503</v>
      </c>
      <c r="B454" s="2">
        <v>46223</v>
      </c>
      <c r="C454" t="s">
        <v>22</v>
      </c>
      <c r="D454" t="s">
        <v>25</v>
      </c>
      <c r="E454" t="s">
        <v>16</v>
      </c>
      <c r="F454" t="s">
        <v>17</v>
      </c>
      <c r="G454" t="s">
        <v>21</v>
      </c>
      <c r="H454">
        <v>15</v>
      </c>
      <c r="I454" t="s">
        <v>45</v>
      </c>
      <c r="J454">
        <f>VLOOKUP(Shoe_Sales[[#This Row],[Product]],products!$A$1:$C$9,3,0)</f>
        <v>58</v>
      </c>
      <c r="K454">
        <f>VLOOKUP(Shoe_Sales[[#This Row],[Product]],products!$A$1:$C$9,2,FALSE)</f>
        <v>105</v>
      </c>
      <c r="L454">
        <f>Shoe_Sales[[#This Row],[Cost Price]]*Shoe_Sales[[#This Row],[Quantity]]</f>
        <v>870</v>
      </c>
      <c r="M454">
        <f>Shoe_Sales[[#This Row],[Selling Price]]*Shoe_Sales[[#This Row],[Quantity]]</f>
        <v>1575</v>
      </c>
      <c r="N454">
        <f>Shoe_Sales[[#This Row],[Revenue]]-Shoe_Sales[[#This Row],[Cost]]</f>
        <v>705</v>
      </c>
      <c r="O454" s="3">
        <f>Shoe_Sales[[#This Row],[Profit]]/Shoe_Sales[[#This Row],[Revenue]]</f>
        <v>0.44761904761904764</v>
      </c>
    </row>
    <row r="455" spans="1:15" x14ac:dyDescent="0.35">
      <c r="A455" s="2" t="s">
        <v>504</v>
      </c>
      <c r="B455" s="2">
        <v>46223</v>
      </c>
      <c r="C455" t="s">
        <v>33</v>
      </c>
      <c r="D455" t="s">
        <v>25</v>
      </c>
      <c r="E455" t="s">
        <v>11</v>
      </c>
      <c r="F455" t="s">
        <v>8</v>
      </c>
      <c r="G455" t="s">
        <v>18</v>
      </c>
      <c r="H455">
        <v>6</v>
      </c>
      <c r="I455" t="s">
        <v>46</v>
      </c>
      <c r="J455">
        <f>VLOOKUP(Shoe_Sales[[#This Row],[Product]],products!$A$1:$C$9,3,0)</f>
        <v>28</v>
      </c>
      <c r="K455">
        <f>VLOOKUP(Shoe_Sales[[#This Row],[Product]],products!$A$1:$C$9,2,FALSE)</f>
        <v>54</v>
      </c>
      <c r="L455">
        <f>Shoe_Sales[[#This Row],[Cost Price]]*Shoe_Sales[[#This Row],[Quantity]]</f>
        <v>168</v>
      </c>
      <c r="M455">
        <f>Shoe_Sales[[#This Row],[Selling Price]]*Shoe_Sales[[#This Row],[Quantity]]</f>
        <v>324</v>
      </c>
      <c r="N455">
        <f>Shoe_Sales[[#This Row],[Revenue]]-Shoe_Sales[[#This Row],[Cost]]</f>
        <v>156</v>
      </c>
      <c r="O455" s="3">
        <f>Shoe_Sales[[#This Row],[Profit]]/Shoe_Sales[[#This Row],[Revenue]]</f>
        <v>0.48148148148148145</v>
      </c>
    </row>
    <row r="456" spans="1:15" x14ac:dyDescent="0.35">
      <c r="A456" s="2" t="s">
        <v>505</v>
      </c>
      <c r="B456" s="2">
        <v>46223</v>
      </c>
      <c r="C456" t="s">
        <v>33</v>
      </c>
      <c r="D456" t="s">
        <v>25</v>
      </c>
      <c r="E456" t="s">
        <v>20</v>
      </c>
      <c r="F456" t="s">
        <v>8</v>
      </c>
      <c r="G456" t="s">
        <v>34</v>
      </c>
      <c r="H456">
        <v>9</v>
      </c>
      <c r="I456" t="s">
        <v>45</v>
      </c>
      <c r="J456">
        <f>VLOOKUP(Shoe_Sales[[#This Row],[Product]],products!$A$1:$C$9,3,0)</f>
        <v>28</v>
      </c>
      <c r="K456">
        <f>VLOOKUP(Shoe_Sales[[#This Row],[Product]],products!$A$1:$C$9,2,FALSE)</f>
        <v>54</v>
      </c>
      <c r="L456">
        <f>Shoe_Sales[[#This Row],[Cost Price]]*Shoe_Sales[[#This Row],[Quantity]]</f>
        <v>252</v>
      </c>
      <c r="M456">
        <f>Shoe_Sales[[#This Row],[Selling Price]]*Shoe_Sales[[#This Row],[Quantity]]</f>
        <v>486</v>
      </c>
      <c r="N456">
        <f>Shoe_Sales[[#This Row],[Revenue]]-Shoe_Sales[[#This Row],[Cost]]</f>
        <v>234</v>
      </c>
      <c r="O456" s="3">
        <f>Shoe_Sales[[#This Row],[Profit]]/Shoe_Sales[[#This Row],[Revenue]]</f>
        <v>0.48148148148148145</v>
      </c>
    </row>
    <row r="457" spans="1:15" x14ac:dyDescent="0.35">
      <c r="A457" s="2" t="s">
        <v>506</v>
      </c>
      <c r="B457" s="2">
        <v>46223</v>
      </c>
      <c r="C457" t="s">
        <v>13</v>
      </c>
      <c r="D457" t="s">
        <v>25</v>
      </c>
      <c r="E457" t="s">
        <v>7</v>
      </c>
      <c r="F457" t="s">
        <v>17</v>
      </c>
      <c r="G457" t="s">
        <v>37</v>
      </c>
      <c r="H457">
        <v>10</v>
      </c>
      <c r="I457" t="s">
        <v>45</v>
      </c>
      <c r="J457">
        <f>VLOOKUP(Shoe_Sales[[#This Row],[Product]],products!$A$1:$C$9,3,0)</f>
        <v>67</v>
      </c>
      <c r="K457">
        <f>VLOOKUP(Shoe_Sales[[#This Row],[Product]],products!$A$1:$C$9,2,FALSE)</f>
        <v>119</v>
      </c>
      <c r="L457">
        <f>Shoe_Sales[[#This Row],[Cost Price]]*Shoe_Sales[[#This Row],[Quantity]]</f>
        <v>670</v>
      </c>
      <c r="M457">
        <f>Shoe_Sales[[#This Row],[Selling Price]]*Shoe_Sales[[#This Row],[Quantity]]</f>
        <v>1190</v>
      </c>
      <c r="N457">
        <f>Shoe_Sales[[#This Row],[Revenue]]-Shoe_Sales[[#This Row],[Cost]]</f>
        <v>520</v>
      </c>
      <c r="O457" s="3">
        <f>Shoe_Sales[[#This Row],[Profit]]/Shoe_Sales[[#This Row],[Revenue]]</f>
        <v>0.43697478991596639</v>
      </c>
    </row>
    <row r="458" spans="1:15" x14ac:dyDescent="0.35">
      <c r="A458" s="2" t="s">
        <v>507</v>
      </c>
      <c r="B458" s="2">
        <v>46224</v>
      </c>
      <c r="C458" t="s">
        <v>22</v>
      </c>
      <c r="D458" t="s">
        <v>25</v>
      </c>
      <c r="E458" t="s">
        <v>20</v>
      </c>
      <c r="F458" t="s">
        <v>40</v>
      </c>
      <c r="G458" t="s">
        <v>21</v>
      </c>
      <c r="H458">
        <v>13</v>
      </c>
      <c r="I458" t="s">
        <v>45</v>
      </c>
      <c r="J458">
        <f>VLOOKUP(Shoe_Sales[[#This Row],[Product]],products!$A$1:$C$9,3,0)</f>
        <v>58</v>
      </c>
      <c r="K458">
        <f>VLOOKUP(Shoe_Sales[[#This Row],[Product]],products!$A$1:$C$9,2,FALSE)</f>
        <v>105</v>
      </c>
      <c r="L458">
        <f>Shoe_Sales[[#This Row],[Cost Price]]*Shoe_Sales[[#This Row],[Quantity]]</f>
        <v>754</v>
      </c>
      <c r="M458">
        <f>Shoe_Sales[[#This Row],[Selling Price]]*Shoe_Sales[[#This Row],[Quantity]]</f>
        <v>1365</v>
      </c>
      <c r="N458">
        <f>Shoe_Sales[[#This Row],[Revenue]]-Shoe_Sales[[#This Row],[Cost]]</f>
        <v>611</v>
      </c>
      <c r="O458" s="3">
        <f>Shoe_Sales[[#This Row],[Profit]]/Shoe_Sales[[#This Row],[Revenue]]</f>
        <v>0.44761904761904764</v>
      </c>
    </row>
    <row r="459" spans="1:15" x14ac:dyDescent="0.35">
      <c r="A459" s="2" t="s">
        <v>508</v>
      </c>
      <c r="B459" s="2">
        <v>46224</v>
      </c>
      <c r="C459" t="s">
        <v>27</v>
      </c>
      <c r="D459" t="s">
        <v>25</v>
      </c>
      <c r="E459" t="s">
        <v>20</v>
      </c>
      <c r="F459" t="s">
        <v>17</v>
      </c>
      <c r="G459" t="s">
        <v>15</v>
      </c>
      <c r="H459">
        <v>4</v>
      </c>
      <c r="I459" t="s">
        <v>46</v>
      </c>
      <c r="J459">
        <f>VLOOKUP(Shoe_Sales[[#This Row],[Product]],products!$A$1:$C$9,3,0)</f>
        <v>14</v>
      </c>
      <c r="K459">
        <f>VLOOKUP(Shoe_Sales[[#This Row],[Product]],products!$A$1:$C$9,2,FALSE)</f>
        <v>32</v>
      </c>
      <c r="L459">
        <f>Shoe_Sales[[#This Row],[Cost Price]]*Shoe_Sales[[#This Row],[Quantity]]</f>
        <v>56</v>
      </c>
      <c r="M459">
        <f>Shoe_Sales[[#This Row],[Selling Price]]*Shoe_Sales[[#This Row],[Quantity]]</f>
        <v>128</v>
      </c>
      <c r="N459">
        <f>Shoe_Sales[[#This Row],[Revenue]]-Shoe_Sales[[#This Row],[Cost]]</f>
        <v>72</v>
      </c>
      <c r="O459" s="3">
        <f>Shoe_Sales[[#This Row],[Profit]]/Shoe_Sales[[#This Row],[Revenue]]</f>
        <v>0.5625</v>
      </c>
    </row>
    <row r="460" spans="1:15" x14ac:dyDescent="0.35">
      <c r="A460" s="2" t="s">
        <v>509</v>
      </c>
      <c r="B460" s="2">
        <v>46226</v>
      </c>
      <c r="C460" t="s">
        <v>38</v>
      </c>
      <c r="D460" t="s">
        <v>25</v>
      </c>
      <c r="E460" t="s">
        <v>16</v>
      </c>
      <c r="F460" t="s">
        <v>29</v>
      </c>
      <c r="G460" t="s">
        <v>26</v>
      </c>
      <c r="H460">
        <v>11</v>
      </c>
      <c r="I460" t="s">
        <v>45</v>
      </c>
      <c r="J460">
        <f>VLOOKUP(Shoe_Sales[[#This Row],[Product]],products!$A$1:$C$9,3,0)</f>
        <v>64</v>
      </c>
      <c r="K460">
        <f>VLOOKUP(Shoe_Sales[[#This Row],[Product]],products!$A$1:$C$9,2,FALSE)</f>
        <v>112</v>
      </c>
      <c r="L460">
        <f>Shoe_Sales[[#This Row],[Cost Price]]*Shoe_Sales[[#This Row],[Quantity]]</f>
        <v>704</v>
      </c>
      <c r="M460">
        <f>Shoe_Sales[[#This Row],[Selling Price]]*Shoe_Sales[[#This Row],[Quantity]]</f>
        <v>1232</v>
      </c>
      <c r="N460">
        <f>Shoe_Sales[[#This Row],[Revenue]]-Shoe_Sales[[#This Row],[Cost]]</f>
        <v>528</v>
      </c>
      <c r="O460" s="3">
        <f>Shoe_Sales[[#This Row],[Profit]]/Shoe_Sales[[#This Row],[Revenue]]</f>
        <v>0.42857142857142855</v>
      </c>
    </row>
    <row r="461" spans="1:15" x14ac:dyDescent="0.35">
      <c r="A461" s="2" t="s">
        <v>510</v>
      </c>
      <c r="B461" s="2">
        <v>46226</v>
      </c>
      <c r="C461" t="s">
        <v>27</v>
      </c>
      <c r="D461" t="s">
        <v>10</v>
      </c>
      <c r="E461" t="s">
        <v>20</v>
      </c>
      <c r="F461" t="s">
        <v>17</v>
      </c>
      <c r="G461" t="s">
        <v>36</v>
      </c>
      <c r="H461">
        <v>10</v>
      </c>
      <c r="I461" t="s">
        <v>47</v>
      </c>
      <c r="J461">
        <f>VLOOKUP(Shoe_Sales[[#This Row],[Product]],products!$A$1:$C$9,3,0)</f>
        <v>14</v>
      </c>
      <c r="K461">
        <f>VLOOKUP(Shoe_Sales[[#This Row],[Product]],products!$A$1:$C$9,2,FALSE)</f>
        <v>32</v>
      </c>
      <c r="L461">
        <f>Shoe_Sales[[#This Row],[Cost Price]]*Shoe_Sales[[#This Row],[Quantity]]</f>
        <v>140</v>
      </c>
      <c r="M461">
        <f>Shoe_Sales[[#This Row],[Selling Price]]*Shoe_Sales[[#This Row],[Quantity]]</f>
        <v>320</v>
      </c>
      <c r="N461">
        <f>Shoe_Sales[[#This Row],[Revenue]]-Shoe_Sales[[#This Row],[Cost]]</f>
        <v>180</v>
      </c>
      <c r="O461" s="3">
        <f>Shoe_Sales[[#This Row],[Profit]]/Shoe_Sales[[#This Row],[Revenue]]</f>
        <v>0.5625</v>
      </c>
    </row>
    <row r="462" spans="1:15" x14ac:dyDescent="0.35">
      <c r="A462" s="2" t="s">
        <v>511</v>
      </c>
      <c r="B462" s="2">
        <v>46226</v>
      </c>
      <c r="C462" t="s">
        <v>13</v>
      </c>
      <c r="D462" t="s">
        <v>10</v>
      </c>
      <c r="E462" t="s">
        <v>14</v>
      </c>
      <c r="F462" t="s">
        <v>17</v>
      </c>
      <c r="G462" t="s">
        <v>37</v>
      </c>
      <c r="H462">
        <v>10</v>
      </c>
      <c r="I462" t="s">
        <v>45</v>
      </c>
      <c r="J462">
        <f>VLOOKUP(Shoe_Sales[[#This Row],[Product]],products!$A$1:$C$9,3,0)</f>
        <v>67</v>
      </c>
      <c r="K462">
        <f>VLOOKUP(Shoe_Sales[[#This Row],[Product]],products!$A$1:$C$9,2,FALSE)</f>
        <v>119</v>
      </c>
      <c r="L462">
        <f>Shoe_Sales[[#This Row],[Cost Price]]*Shoe_Sales[[#This Row],[Quantity]]</f>
        <v>670</v>
      </c>
      <c r="M462">
        <f>Shoe_Sales[[#This Row],[Selling Price]]*Shoe_Sales[[#This Row],[Quantity]]</f>
        <v>1190</v>
      </c>
      <c r="N462">
        <f>Shoe_Sales[[#This Row],[Revenue]]-Shoe_Sales[[#This Row],[Cost]]</f>
        <v>520</v>
      </c>
      <c r="O462" s="3">
        <f>Shoe_Sales[[#This Row],[Profit]]/Shoe_Sales[[#This Row],[Revenue]]</f>
        <v>0.43697478991596639</v>
      </c>
    </row>
    <row r="463" spans="1:15" x14ac:dyDescent="0.35">
      <c r="A463" s="2" t="s">
        <v>512</v>
      </c>
      <c r="B463" s="2">
        <v>46227</v>
      </c>
      <c r="C463" t="s">
        <v>38</v>
      </c>
      <c r="D463" t="s">
        <v>25</v>
      </c>
      <c r="E463" t="s">
        <v>14</v>
      </c>
      <c r="F463" t="s">
        <v>29</v>
      </c>
      <c r="G463" t="s">
        <v>24</v>
      </c>
      <c r="H463">
        <v>15</v>
      </c>
      <c r="I463" t="s">
        <v>47</v>
      </c>
      <c r="J463">
        <f>VLOOKUP(Shoe_Sales[[#This Row],[Product]],products!$A$1:$C$9,3,0)</f>
        <v>64</v>
      </c>
      <c r="K463">
        <f>VLOOKUP(Shoe_Sales[[#This Row],[Product]],products!$A$1:$C$9,2,FALSE)</f>
        <v>112</v>
      </c>
      <c r="L463">
        <f>Shoe_Sales[[#This Row],[Cost Price]]*Shoe_Sales[[#This Row],[Quantity]]</f>
        <v>960</v>
      </c>
      <c r="M463">
        <f>Shoe_Sales[[#This Row],[Selling Price]]*Shoe_Sales[[#This Row],[Quantity]]</f>
        <v>1680</v>
      </c>
      <c r="N463">
        <f>Shoe_Sales[[#This Row],[Revenue]]-Shoe_Sales[[#This Row],[Cost]]</f>
        <v>720</v>
      </c>
      <c r="O463" s="3">
        <f>Shoe_Sales[[#This Row],[Profit]]/Shoe_Sales[[#This Row],[Revenue]]</f>
        <v>0.42857142857142855</v>
      </c>
    </row>
    <row r="464" spans="1:15" x14ac:dyDescent="0.35">
      <c r="A464" s="2" t="s">
        <v>513</v>
      </c>
      <c r="B464" s="2">
        <v>46227</v>
      </c>
      <c r="C464" t="s">
        <v>27</v>
      </c>
      <c r="D464" t="s">
        <v>31</v>
      </c>
      <c r="E464" t="s">
        <v>11</v>
      </c>
      <c r="F464" t="s">
        <v>40</v>
      </c>
      <c r="G464" t="s">
        <v>28</v>
      </c>
      <c r="H464">
        <v>7</v>
      </c>
      <c r="I464" t="s">
        <v>48</v>
      </c>
      <c r="J464">
        <f>VLOOKUP(Shoe_Sales[[#This Row],[Product]],products!$A$1:$C$9,3,0)</f>
        <v>14</v>
      </c>
      <c r="K464">
        <f>VLOOKUP(Shoe_Sales[[#This Row],[Product]],products!$A$1:$C$9,2,FALSE)</f>
        <v>32</v>
      </c>
      <c r="L464">
        <f>Shoe_Sales[[#This Row],[Cost Price]]*Shoe_Sales[[#This Row],[Quantity]]</f>
        <v>98</v>
      </c>
      <c r="M464">
        <f>Shoe_Sales[[#This Row],[Selling Price]]*Shoe_Sales[[#This Row],[Quantity]]</f>
        <v>224</v>
      </c>
      <c r="N464">
        <f>Shoe_Sales[[#This Row],[Revenue]]-Shoe_Sales[[#This Row],[Cost]]</f>
        <v>126</v>
      </c>
      <c r="O464" s="3">
        <f>Shoe_Sales[[#This Row],[Profit]]/Shoe_Sales[[#This Row],[Revenue]]</f>
        <v>0.5625</v>
      </c>
    </row>
    <row r="465" spans="1:15" x14ac:dyDescent="0.35">
      <c r="A465" s="2" t="s">
        <v>514</v>
      </c>
      <c r="B465" s="2">
        <v>46228</v>
      </c>
      <c r="C465" t="s">
        <v>41</v>
      </c>
      <c r="D465" t="s">
        <v>25</v>
      </c>
      <c r="E465" t="s">
        <v>14</v>
      </c>
      <c r="F465" t="s">
        <v>35</v>
      </c>
      <c r="G465" t="s">
        <v>34</v>
      </c>
      <c r="H465">
        <v>5</v>
      </c>
      <c r="I465" t="s">
        <v>46</v>
      </c>
      <c r="J465">
        <f>VLOOKUP(Shoe_Sales[[#This Row],[Product]],products!$A$1:$C$9,3,0)</f>
        <v>39</v>
      </c>
      <c r="K465">
        <f>VLOOKUP(Shoe_Sales[[#This Row],[Product]],products!$A$1:$C$9,2,FALSE)</f>
        <v>76</v>
      </c>
      <c r="L465">
        <f>Shoe_Sales[[#This Row],[Cost Price]]*Shoe_Sales[[#This Row],[Quantity]]</f>
        <v>195</v>
      </c>
      <c r="M465">
        <f>Shoe_Sales[[#This Row],[Selling Price]]*Shoe_Sales[[#This Row],[Quantity]]</f>
        <v>380</v>
      </c>
      <c r="N465">
        <f>Shoe_Sales[[#This Row],[Revenue]]-Shoe_Sales[[#This Row],[Cost]]</f>
        <v>185</v>
      </c>
      <c r="O465" s="3">
        <f>Shoe_Sales[[#This Row],[Profit]]/Shoe_Sales[[#This Row],[Revenue]]</f>
        <v>0.48684210526315791</v>
      </c>
    </row>
    <row r="466" spans="1:15" x14ac:dyDescent="0.35">
      <c r="A466" s="2" t="s">
        <v>515</v>
      </c>
      <c r="B466" s="2">
        <v>46228</v>
      </c>
      <c r="C466" t="s">
        <v>33</v>
      </c>
      <c r="D466" t="s">
        <v>31</v>
      </c>
      <c r="E466" t="s">
        <v>20</v>
      </c>
      <c r="F466" t="s">
        <v>8</v>
      </c>
      <c r="G466" t="s">
        <v>21</v>
      </c>
      <c r="H466">
        <v>10</v>
      </c>
      <c r="I466" t="s">
        <v>48</v>
      </c>
      <c r="J466">
        <f>VLOOKUP(Shoe_Sales[[#This Row],[Product]],products!$A$1:$C$9,3,0)</f>
        <v>28</v>
      </c>
      <c r="K466">
        <f>VLOOKUP(Shoe_Sales[[#This Row],[Product]],products!$A$1:$C$9,2,FALSE)</f>
        <v>54</v>
      </c>
      <c r="L466">
        <f>Shoe_Sales[[#This Row],[Cost Price]]*Shoe_Sales[[#This Row],[Quantity]]</f>
        <v>280</v>
      </c>
      <c r="M466">
        <f>Shoe_Sales[[#This Row],[Selling Price]]*Shoe_Sales[[#This Row],[Quantity]]</f>
        <v>540</v>
      </c>
      <c r="N466">
        <f>Shoe_Sales[[#This Row],[Revenue]]-Shoe_Sales[[#This Row],[Cost]]</f>
        <v>260</v>
      </c>
      <c r="O466" s="3">
        <f>Shoe_Sales[[#This Row],[Profit]]/Shoe_Sales[[#This Row],[Revenue]]</f>
        <v>0.48148148148148145</v>
      </c>
    </row>
    <row r="467" spans="1:15" x14ac:dyDescent="0.35">
      <c r="A467" s="2" t="s">
        <v>516</v>
      </c>
      <c r="B467" s="2">
        <v>46228</v>
      </c>
      <c r="C467" t="s">
        <v>39</v>
      </c>
      <c r="D467" t="s">
        <v>25</v>
      </c>
      <c r="E467" t="s">
        <v>11</v>
      </c>
      <c r="F467" t="s">
        <v>8</v>
      </c>
      <c r="G467" t="s">
        <v>9</v>
      </c>
      <c r="H467">
        <v>5</v>
      </c>
      <c r="I467" t="s">
        <v>48</v>
      </c>
      <c r="J467">
        <f>VLOOKUP(Shoe_Sales[[#This Row],[Product]],products!$A$1:$C$9,3,0)</f>
        <v>72</v>
      </c>
      <c r="K467">
        <f>VLOOKUP(Shoe_Sales[[#This Row],[Product]],products!$A$1:$C$9,2,FALSE)</f>
        <v>128</v>
      </c>
      <c r="L467">
        <f>Shoe_Sales[[#This Row],[Cost Price]]*Shoe_Sales[[#This Row],[Quantity]]</f>
        <v>360</v>
      </c>
      <c r="M467">
        <f>Shoe_Sales[[#This Row],[Selling Price]]*Shoe_Sales[[#This Row],[Quantity]]</f>
        <v>640</v>
      </c>
      <c r="N467">
        <f>Shoe_Sales[[#This Row],[Revenue]]-Shoe_Sales[[#This Row],[Cost]]</f>
        <v>280</v>
      </c>
      <c r="O467" s="3">
        <f>Shoe_Sales[[#This Row],[Profit]]/Shoe_Sales[[#This Row],[Revenue]]</f>
        <v>0.4375</v>
      </c>
    </row>
    <row r="468" spans="1:15" x14ac:dyDescent="0.35">
      <c r="A468" s="2" t="s">
        <v>517</v>
      </c>
      <c r="B468" s="2">
        <v>46228</v>
      </c>
      <c r="C468" t="s">
        <v>13</v>
      </c>
      <c r="D468" t="s">
        <v>10</v>
      </c>
      <c r="E468" t="s">
        <v>20</v>
      </c>
      <c r="F468" t="s">
        <v>17</v>
      </c>
      <c r="G468" t="s">
        <v>24</v>
      </c>
      <c r="H468">
        <v>10</v>
      </c>
      <c r="I468" t="s">
        <v>48</v>
      </c>
      <c r="J468">
        <f>VLOOKUP(Shoe_Sales[[#This Row],[Product]],products!$A$1:$C$9,3,0)</f>
        <v>67</v>
      </c>
      <c r="K468">
        <f>VLOOKUP(Shoe_Sales[[#This Row],[Product]],products!$A$1:$C$9,2,FALSE)</f>
        <v>119</v>
      </c>
      <c r="L468">
        <f>Shoe_Sales[[#This Row],[Cost Price]]*Shoe_Sales[[#This Row],[Quantity]]</f>
        <v>670</v>
      </c>
      <c r="M468">
        <f>Shoe_Sales[[#This Row],[Selling Price]]*Shoe_Sales[[#This Row],[Quantity]]</f>
        <v>1190</v>
      </c>
      <c r="N468">
        <f>Shoe_Sales[[#This Row],[Revenue]]-Shoe_Sales[[#This Row],[Cost]]</f>
        <v>520</v>
      </c>
      <c r="O468" s="3">
        <f>Shoe_Sales[[#This Row],[Profit]]/Shoe_Sales[[#This Row],[Revenue]]</f>
        <v>0.43697478991596639</v>
      </c>
    </row>
    <row r="469" spans="1:15" x14ac:dyDescent="0.35">
      <c r="A469" s="2" t="s">
        <v>518</v>
      </c>
      <c r="B469" s="2">
        <v>46229</v>
      </c>
      <c r="C469" t="s">
        <v>39</v>
      </c>
      <c r="D469" t="s">
        <v>25</v>
      </c>
      <c r="E469" t="s">
        <v>16</v>
      </c>
      <c r="F469" t="s">
        <v>17</v>
      </c>
      <c r="G469" t="s">
        <v>23</v>
      </c>
      <c r="H469">
        <v>13</v>
      </c>
      <c r="I469" t="s">
        <v>47</v>
      </c>
      <c r="J469">
        <f>VLOOKUP(Shoe_Sales[[#This Row],[Product]],products!$A$1:$C$9,3,0)</f>
        <v>72</v>
      </c>
      <c r="K469">
        <f>VLOOKUP(Shoe_Sales[[#This Row],[Product]],products!$A$1:$C$9,2,FALSE)</f>
        <v>128</v>
      </c>
      <c r="L469">
        <f>Shoe_Sales[[#This Row],[Cost Price]]*Shoe_Sales[[#This Row],[Quantity]]</f>
        <v>936</v>
      </c>
      <c r="M469">
        <f>Shoe_Sales[[#This Row],[Selling Price]]*Shoe_Sales[[#This Row],[Quantity]]</f>
        <v>1664</v>
      </c>
      <c r="N469">
        <f>Shoe_Sales[[#This Row],[Revenue]]-Shoe_Sales[[#This Row],[Cost]]</f>
        <v>728</v>
      </c>
      <c r="O469" s="3">
        <f>Shoe_Sales[[#This Row],[Profit]]/Shoe_Sales[[#This Row],[Revenue]]</f>
        <v>0.4375</v>
      </c>
    </row>
    <row r="470" spans="1:15" x14ac:dyDescent="0.35">
      <c r="A470" s="2" t="s">
        <v>519</v>
      </c>
      <c r="B470" s="2">
        <v>46230</v>
      </c>
      <c r="C470" t="s">
        <v>38</v>
      </c>
      <c r="D470" t="s">
        <v>10</v>
      </c>
      <c r="E470" t="s">
        <v>20</v>
      </c>
      <c r="F470" t="s">
        <v>40</v>
      </c>
      <c r="G470" t="s">
        <v>12</v>
      </c>
      <c r="H470">
        <v>15</v>
      </c>
      <c r="I470" t="s">
        <v>45</v>
      </c>
      <c r="J470">
        <f>VLOOKUP(Shoe_Sales[[#This Row],[Product]],products!$A$1:$C$9,3,0)</f>
        <v>64</v>
      </c>
      <c r="K470">
        <f>VLOOKUP(Shoe_Sales[[#This Row],[Product]],products!$A$1:$C$9,2,FALSE)</f>
        <v>112</v>
      </c>
      <c r="L470">
        <f>Shoe_Sales[[#This Row],[Cost Price]]*Shoe_Sales[[#This Row],[Quantity]]</f>
        <v>960</v>
      </c>
      <c r="M470">
        <f>Shoe_Sales[[#This Row],[Selling Price]]*Shoe_Sales[[#This Row],[Quantity]]</f>
        <v>1680</v>
      </c>
      <c r="N470">
        <f>Shoe_Sales[[#This Row],[Revenue]]-Shoe_Sales[[#This Row],[Cost]]</f>
        <v>720</v>
      </c>
      <c r="O470" s="3">
        <f>Shoe_Sales[[#This Row],[Profit]]/Shoe_Sales[[#This Row],[Revenue]]</f>
        <v>0.42857142857142855</v>
      </c>
    </row>
    <row r="471" spans="1:15" x14ac:dyDescent="0.35">
      <c r="A471" s="2" t="s">
        <v>520</v>
      </c>
      <c r="B471" s="2">
        <v>46231</v>
      </c>
      <c r="C471" t="s">
        <v>27</v>
      </c>
      <c r="D471" t="s">
        <v>25</v>
      </c>
      <c r="E471" t="s">
        <v>11</v>
      </c>
      <c r="F471" t="s">
        <v>17</v>
      </c>
      <c r="G471" t="s">
        <v>30</v>
      </c>
      <c r="H471">
        <v>7</v>
      </c>
      <c r="I471" t="s">
        <v>47</v>
      </c>
      <c r="J471">
        <f>VLOOKUP(Shoe_Sales[[#This Row],[Product]],products!$A$1:$C$9,3,0)</f>
        <v>14</v>
      </c>
      <c r="K471">
        <f>VLOOKUP(Shoe_Sales[[#This Row],[Product]],products!$A$1:$C$9,2,FALSE)</f>
        <v>32</v>
      </c>
      <c r="L471">
        <f>Shoe_Sales[[#This Row],[Cost Price]]*Shoe_Sales[[#This Row],[Quantity]]</f>
        <v>98</v>
      </c>
      <c r="M471">
        <f>Shoe_Sales[[#This Row],[Selling Price]]*Shoe_Sales[[#This Row],[Quantity]]</f>
        <v>224</v>
      </c>
      <c r="N471">
        <f>Shoe_Sales[[#This Row],[Revenue]]-Shoe_Sales[[#This Row],[Cost]]</f>
        <v>126</v>
      </c>
      <c r="O471" s="3">
        <f>Shoe_Sales[[#This Row],[Profit]]/Shoe_Sales[[#This Row],[Revenue]]</f>
        <v>0.5625</v>
      </c>
    </row>
    <row r="472" spans="1:15" x14ac:dyDescent="0.35">
      <c r="A472" s="2" t="s">
        <v>521</v>
      </c>
      <c r="B472" s="2">
        <v>46231</v>
      </c>
      <c r="C472" t="s">
        <v>27</v>
      </c>
      <c r="D472" t="s">
        <v>31</v>
      </c>
      <c r="E472" t="s">
        <v>14</v>
      </c>
      <c r="F472" t="s">
        <v>8</v>
      </c>
      <c r="G472" t="s">
        <v>30</v>
      </c>
      <c r="H472">
        <v>9</v>
      </c>
      <c r="I472" t="s">
        <v>46</v>
      </c>
      <c r="J472">
        <f>VLOOKUP(Shoe_Sales[[#This Row],[Product]],products!$A$1:$C$9,3,0)</f>
        <v>14</v>
      </c>
      <c r="K472">
        <f>VLOOKUP(Shoe_Sales[[#This Row],[Product]],products!$A$1:$C$9,2,FALSE)</f>
        <v>32</v>
      </c>
      <c r="L472">
        <f>Shoe_Sales[[#This Row],[Cost Price]]*Shoe_Sales[[#This Row],[Quantity]]</f>
        <v>126</v>
      </c>
      <c r="M472">
        <f>Shoe_Sales[[#This Row],[Selling Price]]*Shoe_Sales[[#This Row],[Quantity]]</f>
        <v>288</v>
      </c>
      <c r="N472">
        <f>Shoe_Sales[[#This Row],[Revenue]]-Shoe_Sales[[#This Row],[Cost]]</f>
        <v>162</v>
      </c>
      <c r="O472" s="3">
        <f>Shoe_Sales[[#This Row],[Profit]]/Shoe_Sales[[#This Row],[Revenue]]</f>
        <v>0.5625</v>
      </c>
    </row>
    <row r="473" spans="1:15" x14ac:dyDescent="0.35">
      <c r="A473" s="2" t="s">
        <v>522</v>
      </c>
      <c r="B473" s="2">
        <v>46233</v>
      </c>
      <c r="C473" t="s">
        <v>41</v>
      </c>
      <c r="D473" t="s">
        <v>10</v>
      </c>
      <c r="E473" t="s">
        <v>20</v>
      </c>
      <c r="F473" t="s">
        <v>29</v>
      </c>
      <c r="G473" t="s">
        <v>30</v>
      </c>
      <c r="H473">
        <v>9</v>
      </c>
      <c r="I473" t="s">
        <v>48</v>
      </c>
      <c r="J473">
        <f>VLOOKUP(Shoe_Sales[[#This Row],[Product]],products!$A$1:$C$9,3,0)</f>
        <v>39</v>
      </c>
      <c r="K473">
        <f>VLOOKUP(Shoe_Sales[[#This Row],[Product]],products!$A$1:$C$9,2,FALSE)</f>
        <v>76</v>
      </c>
      <c r="L473">
        <f>Shoe_Sales[[#This Row],[Cost Price]]*Shoe_Sales[[#This Row],[Quantity]]</f>
        <v>351</v>
      </c>
      <c r="M473">
        <f>Shoe_Sales[[#This Row],[Selling Price]]*Shoe_Sales[[#This Row],[Quantity]]</f>
        <v>684</v>
      </c>
      <c r="N473">
        <f>Shoe_Sales[[#This Row],[Revenue]]-Shoe_Sales[[#This Row],[Cost]]</f>
        <v>333</v>
      </c>
      <c r="O473" s="3">
        <f>Shoe_Sales[[#This Row],[Profit]]/Shoe_Sales[[#This Row],[Revenue]]</f>
        <v>0.48684210526315791</v>
      </c>
    </row>
    <row r="474" spans="1:15" x14ac:dyDescent="0.35">
      <c r="A474" s="2" t="s">
        <v>523</v>
      </c>
      <c r="B474" s="2">
        <v>46234</v>
      </c>
      <c r="C474" t="s">
        <v>13</v>
      </c>
      <c r="D474" t="s">
        <v>25</v>
      </c>
      <c r="E474" t="s">
        <v>11</v>
      </c>
      <c r="F474" t="s">
        <v>17</v>
      </c>
      <c r="G474" t="s">
        <v>37</v>
      </c>
      <c r="H474">
        <v>3</v>
      </c>
      <c r="I474" t="s">
        <v>45</v>
      </c>
      <c r="J474">
        <f>VLOOKUP(Shoe_Sales[[#This Row],[Product]],products!$A$1:$C$9,3,0)</f>
        <v>67</v>
      </c>
      <c r="K474">
        <f>VLOOKUP(Shoe_Sales[[#This Row],[Product]],products!$A$1:$C$9,2,FALSE)</f>
        <v>119</v>
      </c>
      <c r="L474">
        <f>Shoe_Sales[[#This Row],[Cost Price]]*Shoe_Sales[[#This Row],[Quantity]]</f>
        <v>201</v>
      </c>
      <c r="M474">
        <f>Shoe_Sales[[#This Row],[Selling Price]]*Shoe_Sales[[#This Row],[Quantity]]</f>
        <v>357</v>
      </c>
      <c r="N474">
        <f>Shoe_Sales[[#This Row],[Revenue]]-Shoe_Sales[[#This Row],[Cost]]</f>
        <v>156</v>
      </c>
      <c r="O474" s="3">
        <f>Shoe_Sales[[#This Row],[Profit]]/Shoe_Sales[[#This Row],[Revenue]]</f>
        <v>0.43697478991596639</v>
      </c>
    </row>
    <row r="475" spans="1:15" x14ac:dyDescent="0.35">
      <c r="A475" s="2" t="s">
        <v>524</v>
      </c>
      <c r="B475" s="2">
        <v>46235</v>
      </c>
      <c r="C475" t="s">
        <v>22</v>
      </c>
      <c r="D475" t="s">
        <v>31</v>
      </c>
      <c r="E475" t="s">
        <v>16</v>
      </c>
      <c r="F475" t="s">
        <v>17</v>
      </c>
      <c r="G475" t="s">
        <v>37</v>
      </c>
      <c r="H475">
        <v>12</v>
      </c>
      <c r="I475" t="s">
        <v>47</v>
      </c>
      <c r="J475">
        <f>VLOOKUP(Shoe_Sales[[#This Row],[Product]],products!$A$1:$C$9,3,0)</f>
        <v>58</v>
      </c>
      <c r="K475">
        <f>VLOOKUP(Shoe_Sales[[#This Row],[Product]],products!$A$1:$C$9,2,FALSE)</f>
        <v>105</v>
      </c>
      <c r="L475">
        <f>Shoe_Sales[[#This Row],[Cost Price]]*Shoe_Sales[[#This Row],[Quantity]]</f>
        <v>696</v>
      </c>
      <c r="M475">
        <f>Shoe_Sales[[#This Row],[Selling Price]]*Shoe_Sales[[#This Row],[Quantity]]</f>
        <v>1260</v>
      </c>
      <c r="N475">
        <f>Shoe_Sales[[#This Row],[Revenue]]-Shoe_Sales[[#This Row],[Cost]]</f>
        <v>564</v>
      </c>
      <c r="O475" s="3">
        <f>Shoe_Sales[[#This Row],[Profit]]/Shoe_Sales[[#This Row],[Revenue]]</f>
        <v>0.44761904761904764</v>
      </c>
    </row>
    <row r="476" spans="1:15" x14ac:dyDescent="0.35">
      <c r="A476" s="2" t="s">
        <v>525</v>
      </c>
      <c r="B476" s="2">
        <v>46235</v>
      </c>
      <c r="C476" t="s">
        <v>13</v>
      </c>
      <c r="D476" t="s">
        <v>19</v>
      </c>
      <c r="E476" t="s">
        <v>14</v>
      </c>
      <c r="F476" t="s">
        <v>8</v>
      </c>
      <c r="G476" t="s">
        <v>28</v>
      </c>
      <c r="H476">
        <v>1</v>
      </c>
      <c r="I476" t="s">
        <v>48</v>
      </c>
      <c r="J476">
        <f>VLOOKUP(Shoe_Sales[[#This Row],[Product]],products!$A$1:$C$9,3,0)</f>
        <v>67</v>
      </c>
      <c r="K476">
        <f>VLOOKUP(Shoe_Sales[[#This Row],[Product]],products!$A$1:$C$9,2,FALSE)</f>
        <v>119</v>
      </c>
      <c r="L476">
        <f>Shoe_Sales[[#This Row],[Cost Price]]*Shoe_Sales[[#This Row],[Quantity]]</f>
        <v>67</v>
      </c>
      <c r="M476">
        <f>Shoe_Sales[[#This Row],[Selling Price]]*Shoe_Sales[[#This Row],[Quantity]]</f>
        <v>119</v>
      </c>
      <c r="N476">
        <f>Shoe_Sales[[#This Row],[Revenue]]-Shoe_Sales[[#This Row],[Cost]]</f>
        <v>52</v>
      </c>
      <c r="O476" s="3">
        <f>Shoe_Sales[[#This Row],[Profit]]/Shoe_Sales[[#This Row],[Revenue]]</f>
        <v>0.43697478991596639</v>
      </c>
    </row>
    <row r="477" spans="1:15" x14ac:dyDescent="0.35">
      <c r="A477" s="2" t="s">
        <v>526</v>
      </c>
      <c r="B477" s="2">
        <v>46235</v>
      </c>
      <c r="C477" t="s">
        <v>41</v>
      </c>
      <c r="D477" t="s">
        <v>10</v>
      </c>
      <c r="E477" t="s">
        <v>7</v>
      </c>
      <c r="F477" t="s">
        <v>8</v>
      </c>
      <c r="G477" t="s">
        <v>23</v>
      </c>
      <c r="H477">
        <v>9</v>
      </c>
      <c r="I477" t="s">
        <v>48</v>
      </c>
      <c r="J477">
        <f>VLOOKUP(Shoe_Sales[[#This Row],[Product]],products!$A$1:$C$9,3,0)</f>
        <v>39</v>
      </c>
      <c r="K477">
        <f>VLOOKUP(Shoe_Sales[[#This Row],[Product]],products!$A$1:$C$9,2,FALSE)</f>
        <v>76</v>
      </c>
      <c r="L477">
        <f>Shoe_Sales[[#This Row],[Cost Price]]*Shoe_Sales[[#This Row],[Quantity]]</f>
        <v>351</v>
      </c>
      <c r="M477">
        <f>Shoe_Sales[[#This Row],[Selling Price]]*Shoe_Sales[[#This Row],[Quantity]]</f>
        <v>684</v>
      </c>
      <c r="N477">
        <f>Shoe_Sales[[#This Row],[Revenue]]-Shoe_Sales[[#This Row],[Cost]]</f>
        <v>333</v>
      </c>
      <c r="O477" s="3">
        <f>Shoe_Sales[[#This Row],[Profit]]/Shoe_Sales[[#This Row],[Revenue]]</f>
        <v>0.48684210526315791</v>
      </c>
    </row>
    <row r="478" spans="1:15" x14ac:dyDescent="0.35">
      <c r="A478" s="2" t="s">
        <v>527</v>
      </c>
      <c r="B478" s="2">
        <v>46236</v>
      </c>
      <c r="C478" t="s">
        <v>33</v>
      </c>
      <c r="D478" t="s">
        <v>25</v>
      </c>
      <c r="E478" t="s">
        <v>14</v>
      </c>
      <c r="F478" t="s">
        <v>40</v>
      </c>
      <c r="G478" t="s">
        <v>30</v>
      </c>
      <c r="H478">
        <v>14</v>
      </c>
      <c r="I478" t="s">
        <v>47</v>
      </c>
      <c r="J478">
        <f>VLOOKUP(Shoe_Sales[[#This Row],[Product]],products!$A$1:$C$9,3,0)</f>
        <v>28</v>
      </c>
      <c r="K478">
        <f>VLOOKUP(Shoe_Sales[[#This Row],[Product]],products!$A$1:$C$9,2,FALSE)</f>
        <v>54</v>
      </c>
      <c r="L478">
        <f>Shoe_Sales[[#This Row],[Cost Price]]*Shoe_Sales[[#This Row],[Quantity]]</f>
        <v>392</v>
      </c>
      <c r="M478">
        <f>Shoe_Sales[[#This Row],[Selling Price]]*Shoe_Sales[[#This Row],[Quantity]]</f>
        <v>756</v>
      </c>
      <c r="N478">
        <f>Shoe_Sales[[#This Row],[Revenue]]-Shoe_Sales[[#This Row],[Cost]]</f>
        <v>364</v>
      </c>
      <c r="O478" s="3">
        <f>Shoe_Sales[[#This Row],[Profit]]/Shoe_Sales[[#This Row],[Revenue]]</f>
        <v>0.48148148148148145</v>
      </c>
    </row>
    <row r="479" spans="1:15" x14ac:dyDescent="0.35">
      <c r="A479" s="2" t="s">
        <v>528</v>
      </c>
      <c r="B479" s="2">
        <v>46236</v>
      </c>
      <c r="C479" t="s">
        <v>41</v>
      </c>
      <c r="D479" t="s">
        <v>25</v>
      </c>
      <c r="E479" t="s">
        <v>14</v>
      </c>
      <c r="F479" t="s">
        <v>17</v>
      </c>
      <c r="G479" t="s">
        <v>12</v>
      </c>
      <c r="H479">
        <v>7</v>
      </c>
      <c r="I479" t="s">
        <v>48</v>
      </c>
      <c r="J479">
        <f>VLOOKUP(Shoe_Sales[[#This Row],[Product]],products!$A$1:$C$9,3,0)</f>
        <v>39</v>
      </c>
      <c r="K479">
        <f>VLOOKUP(Shoe_Sales[[#This Row],[Product]],products!$A$1:$C$9,2,FALSE)</f>
        <v>76</v>
      </c>
      <c r="L479">
        <f>Shoe_Sales[[#This Row],[Cost Price]]*Shoe_Sales[[#This Row],[Quantity]]</f>
        <v>273</v>
      </c>
      <c r="M479">
        <f>Shoe_Sales[[#This Row],[Selling Price]]*Shoe_Sales[[#This Row],[Quantity]]</f>
        <v>532</v>
      </c>
      <c r="N479">
        <f>Shoe_Sales[[#This Row],[Revenue]]-Shoe_Sales[[#This Row],[Cost]]</f>
        <v>259</v>
      </c>
      <c r="O479" s="3">
        <f>Shoe_Sales[[#This Row],[Profit]]/Shoe_Sales[[#This Row],[Revenue]]</f>
        <v>0.48684210526315791</v>
      </c>
    </row>
    <row r="480" spans="1:15" x14ac:dyDescent="0.35">
      <c r="A480" s="2" t="s">
        <v>529</v>
      </c>
      <c r="B480" s="2">
        <v>46236</v>
      </c>
      <c r="C480" t="s">
        <v>42</v>
      </c>
      <c r="D480" t="s">
        <v>25</v>
      </c>
      <c r="E480" t="s">
        <v>14</v>
      </c>
      <c r="F480" t="s">
        <v>29</v>
      </c>
      <c r="G480" t="s">
        <v>21</v>
      </c>
      <c r="H480">
        <v>1</v>
      </c>
      <c r="I480" t="s">
        <v>48</v>
      </c>
      <c r="J480">
        <f>VLOOKUP(Shoe_Sales[[#This Row],[Product]],products!$A$1:$C$9,3,0)</f>
        <v>47</v>
      </c>
      <c r="K480">
        <f>VLOOKUP(Shoe_Sales[[#This Row],[Product]],products!$A$1:$C$9,2,FALSE)</f>
        <v>89</v>
      </c>
      <c r="L480">
        <f>Shoe_Sales[[#This Row],[Cost Price]]*Shoe_Sales[[#This Row],[Quantity]]</f>
        <v>47</v>
      </c>
      <c r="M480">
        <f>Shoe_Sales[[#This Row],[Selling Price]]*Shoe_Sales[[#This Row],[Quantity]]</f>
        <v>89</v>
      </c>
      <c r="N480">
        <f>Shoe_Sales[[#This Row],[Revenue]]-Shoe_Sales[[#This Row],[Cost]]</f>
        <v>42</v>
      </c>
      <c r="O480" s="3">
        <f>Shoe_Sales[[#This Row],[Profit]]/Shoe_Sales[[#This Row],[Revenue]]</f>
        <v>0.47191011235955055</v>
      </c>
    </row>
    <row r="481" spans="1:15" x14ac:dyDescent="0.35">
      <c r="A481" s="2" t="s">
        <v>530</v>
      </c>
      <c r="B481" s="2">
        <v>46237</v>
      </c>
      <c r="C481" t="s">
        <v>41</v>
      </c>
      <c r="D481" t="s">
        <v>25</v>
      </c>
      <c r="E481" t="s">
        <v>20</v>
      </c>
      <c r="F481" t="s">
        <v>17</v>
      </c>
      <c r="G481" t="s">
        <v>28</v>
      </c>
      <c r="H481">
        <v>5</v>
      </c>
      <c r="I481" t="s">
        <v>48</v>
      </c>
      <c r="J481">
        <f>VLOOKUP(Shoe_Sales[[#This Row],[Product]],products!$A$1:$C$9,3,0)</f>
        <v>39</v>
      </c>
      <c r="K481">
        <f>VLOOKUP(Shoe_Sales[[#This Row],[Product]],products!$A$1:$C$9,2,FALSE)</f>
        <v>76</v>
      </c>
      <c r="L481">
        <f>Shoe_Sales[[#This Row],[Cost Price]]*Shoe_Sales[[#This Row],[Quantity]]</f>
        <v>195</v>
      </c>
      <c r="M481">
        <f>Shoe_Sales[[#This Row],[Selling Price]]*Shoe_Sales[[#This Row],[Quantity]]</f>
        <v>380</v>
      </c>
      <c r="N481">
        <f>Shoe_Sales[[#This Row],[Revenue]]-Shoe_Sales[[#This Row],[Cost]]</f>
        <v>185</v>
      </c>
      <c r="O481" s="3">
        <f>Shoe_Sales[[#This Row],[Profit]]/Shoe_Sales[[#This Row],[Revenue]]</f>
        <v>0.48684210526315791</v>
      </c>
    </row>
    <row r="482" spans="1:15" x14ac:dyDescent="0.35">
      <c r="A482" s="2" t="s">
        <v>531</v>
      </c>
      <c r="B482" s="2">
        <v>46238</v>
      </c>
      <c r="C482" t="s">
        <v>39</v>
      </c>
      <c r="D482" t="s">
        <v>31</v>
      </c>
      <c r="E482" t="s">
        <v>20</v>
      </c>
      <c r="F482" t="s">
        <v>8</v>
      </c>
      <c r="G482" t="s">
        <v>15</v>
      </c>
      <c r="H482">
        <v>6</v>
      </c>
      <c r="I482" t="s">
        <v>46</v>
      </c>
      <c r="J482">
        <f>VLOOKUP(Shoe_Sales[[#This Row],[Product]],products!$A$1:$C$9,3,0)</f>
        <v>72</v>
      </c>
      <c r="K482">
        <f>VLOOKUP(Shoe_Sales[[#This Row],[Product]],products!$A$1:$C$9,2,FALSE)</f>
        <v>128</v>
      </c>
      <c r="L482">
        <f>Shoe_Sales[[#This Row],[Cost Price]]*Shoe_Sales[[#This Row],[Quantity]]</f>
        <v>432</v>
      </c>
      <c r="M482">
        <f>Shoe_Sales[[#This Row],[Selling Price]]*Shoe_Sales[[#This Row],[Quantity]]</f>
        <v>768</v>
      </c>
      <c r="N482">
        <f>Shoe_Sales[[#This Row],[Revenue]]-Shoe_Sales[[#This Row],[Cost]]</f>
        <v>336</v>
      </c>
      <c r="O482" s="3">
        <f>Shoe_Sales[[#This Row],[Profit]]/Shoe_Sales[[#This Row],[Revenue]]</f>
        <v>0.4375</v>
      </c>
    </row>
    <row r="483" spans="1:15" x14ac:dyDescent="0.35">
      <c r="A483" s="2" t="s">
        <v>532</v>
      </c>
      <c r="B483" s="2">
        <v>46238</v>
      </c>
      <c r="C483" t="s">
        <v>41</v>
      </c>
      <c r="D483" t="s">
        <v>25</v>
      </c>
      <c r="E483" t="s">
        <v>14</v>
      </c>
      <c r="F483" t="s">
        <v>17</v>
      </c>
      <c r="G483" t="s">
        <v>23</v>
      </c>
      <c r="H483">
        <v>5</v>
      </c>
      <c r="I483" t="s">
        <v>47</v>
      </c>
      <c r="J483">
        <f>VLOOKUP(Shoe_Sales[[#This Row],[Product]],products!$A$1:$C$9,3,0)</f>
        <v>39</v>
      </c>
      <c r="K483">
        <f>VLOOKUP(Shoe_Sales[[#This Row],[Product]],products!$A$1:$C$9,2,FALSE)</f>
        <v>76</v>
      </c>
      <c r="L483">
        <f>Shoe_Sales[[#This Row],[Cost Price]]*Shoe_Sales[[#This Row],[Quantity]]</f>
        <v>195</v>
      </c>
      <c r="M483">
        <f>Shoe_Sales[[#This Row],[Selling Price]]*Shoe_Sales[[#This Row],[Quantity]]</f>
        <v>380</v>
      </c>
      <c r="N483">
        <f>Shoe_Sales[[#This Row],[Revenue]]-Shoe_Sales[[#This Row],[Cost]]</f>
        <v>185</v>
      </c>
      <c r="O483" s="3">
        <f>Shoe_Sales[[#This Row],[Profit]]/Shoe_Sales[[#This Row],[Revenue]]</f>
        <v>0.48684210526315791</v>
      </c>
    </row>
    <row r="484" spans="1:15" x14ac:dyDescent="0.35">
      <c r="A484" s="2" t="s">
        <v>533</v>
      </c>
      <c r="B484" s="2">
        <v>46239</v>
      </c>
      <c r="C484" t="s">
        <v>41</v>
      </c>
      <c r="D484" t="s">
        <v>19</v>
      </c>
      <c r="E484" t="s">
        <v>11</v>
      </c>
      <c r="F484" t="s">
        <v>17</v>
      </c>
      <c r="G484" t="s">
        <v>36</v>
      </c>
      <c r="H484">
        <v>2</v>
      </c>
      <c r="I484" t="s">
        <v>48</v>
      </c>
      <c r="J484">
        <f>VLOOKUP(Shoe_Sales[[#This Row],[Product]],products!$A$1:$C$9,3,0)</f>
        <v>39</v>
      </c>
      <c r="K484">
        <f>VLOOKUP(Shoe_Sales[[#This Row],[Product]],products!$A$1:$C$9,2,FALSE)</f>
        <v>76</v>
      </c>
      <c r="L484">
        <f>Shoe_Sales[[#This Row],[Cost Price]]*Shoe_Sales[[#This Row],[Quantity]]</f>
        <v>78</v>
      </c>
      <c r="M484">
        <f>Shoe_Sales[[#This Row],[Selling Price]]*Shoe_Sales[[#This Row],[Quantity]]</f>
        <v>152</v>
      </c>
      <c r="N484">
        <f>Shoe_Sales[[#This Row],[Revenue]]-Shoe_Sales[[#This Row],[Cost]]</f>
        <v>74</v>
      </c>
      <c r="O484" s="3">
        <f>Shoe_Sales[[#This Row],[Profit]]/Shoe_Sales[[#This Row],[Revenue]]</f>
        <v>0.48684210526315791</v>
      </c>
    </row>
    <row r="485" spans="1:15" x14ac:dyDescent="0.35">
      <c r="A485" s="2" t="s">
        <v>534</v>
      </c>
      <c r="B485" s="2">
        <v>46239</v>
      </c>
      <c r="C485" t="s">
        <v>27</v>
      </c>
      <c r="D485" t="s">
        <v>25</v>
      </c>
      <c r="E485" t="s">
        <v>14</v>
      </c>
      <c r="F485" t="s">
        <v>17</v>
      </c>
      <c r="G485" t="s">
        <v>18</v>
      </c>
      <c r="H485">
        <v>11</v>
      </c>
      <c r="I485" t="s">
        <v>46</v>
      </c>
      <c r="J485">
        <f>VLOOKUP(Shoe_Sales[[#This Row],[Product]],products!$A$1:$C$9,3,0)</f>
        <v>14</v>
      </c>
      <c r="K485">
        <f>VLOOKUP(Shoe_Sales[[#This Row],[Product]],products!$A$1:$C$9,2,FALSE)</f>
        <v>32</v>
      </c>
      <c r="L485">
        <f>Shoe_Sales[[#This Row],[Cost Price]]*Shoe_Sales[[#This Row],[Quantity]]</f>
        <v>154</v>
      </c>
      <c r="M485">
        <f>Shoe_Sales[[#This Row],[Selling Price]]*Shoe_Sales[[#This Row],[Quantity]]</f>
        <v>352</v>
      </c>
      <c r="N485">
        <f>Shoe_Sales[[#This Row],[Revenue]]-Shoe_Sales[[#This Row],[Cost]]</f>
        <v>198</v>
      </c>
      <c r="O485" s="3">
        <f>Shoe_Sales[[#This Row],[Profit]]/Shoe_Sales[[#This Row],[Revenue]]</f>
        <v>0.5625</v>
      </c>
    </row>
    <row r="486" spans="1:15" x14ac:dyDescent="0.35">
      <c r="A486" s="2" t="s">
        <v>535</v>
      </c>
      <c r="B486" s="2">
        <v>46240</v>
      </c>
      <c r="C486" t="s">
        <v>41</v>
      </c>
      <c r="D486" t="s">
        <v>10</v>
      </c>
      <c r="E486" t="s">
        <v>11</v>
      </c>
      <c r="F486" t="s">
        <v>17</v>
      </c>
      <c r="G486" t="s">
        <v>18</v>
      </c>
      <c r="H486">
        <v>2</v>
      </c>
      <c r="I486" t="s">
        <v>48</v>
      </c>
      <c r="J486">
        <f>VLOOKUP(Shoe_Sales[[#This Row],[Product]],products!$A$1:$C$9,3,0)</f>
        <v>39</v>
      </c>
      <c r="K486">
        <f>VLOOKUP(Shoe_Sales[[#This Row],[Product]],products!$A$1:$C$9,2,FALSE)</f>
        <v>76</v>
      </c>
      <c r="L486">
        <f>Shoe_Sales[[#This Row],[Cost Price]]*Shoe_Sales[[#This Row],[Quantity]]</f>
        <v>78</v>
      </c>
      <c r="M486">
        <f>Shoe_Sales[[#This Row],[Selling Price]]*Shoe_Sales[[#This Row],[Quantity]]</f>
        <v>152</v>
      </c>
      <c r="N486">
        <f>Shoe_Sales[[#This Row],[Revenue]]-Shoe_Sales[[#This Row],[Cost]]</f>
        <v>74</v>
      </c>
      <c r="O486" s="3">
        <f>Shoe_Sales[[#This Row],[Profit]]/Shoe_Sales[[#This Row],[Revenue]]</f>
        <v>0.48684210526315791</v>
      </c>
    </row>
    <row r="487" spans="1:15" x14ac:dyDescent="0.35">
      <c r="A487" s="2" t="s">
        <v>536</v>
      </c>
      <c r="B487" s="2">
        <v>46240</v>
      </c>
      <c r="C487" t="s">
        <v>39</v>
      </c>
      <c r="D487" t="s">
        <v>10</v>
      </c>
      <c r="E487" t="s">
        <v>14</v>
      </c>
      <c r="F487" t="s">
        <v>8</v>
      </c>
      <c r="G487" t="s">
        <v>28</v>
      </c>
      <c r="H487">
        <v>4</v>
      </c>
      <c r="I487" t="s">
        <v>45</v>
      </c>
      <c r="J487">
        <f>VLOOKUP(Shoe_Sales[[#This Row],[Product]],products!$A$1:$C$9,3,0)</f>
        <v>72</v>
      </c>
      <c r="K487">
        <f>VLOOKUP(Shoe_Sales[[#This Row],[Product]],products!$A$1:$C$9,2,FALSE)</f>
        <v>128</v>
      </c>
      <c r="L487">
        <f>Shoe_Sales[[#This Row],[Cost Price]]*Shoe_Sales[[#This Row],[Quantity]]</f>
        <v>288</v>
      </c>
      <c r="M487">
        <f>Shoe_Sales[[#This Row],[Selling Price]]*Shoe_Sales[[#This Row],[Quantity]]</f>
        <v>512</v>
      </c>
      <c r="N487">
        <f>Shoe_Sales[[#This Row],[Revenue]]-Shoe_Sales[[#This Row],[Cost]]</f>
        <v>224</v>
      </c>
      <c r="O487" s="3">
        <f>Shoe_Sales[[#This Row],[Profit]]/Shoe_Sales[[#This Row],[Revenue]]</f>
        <v>0.4375</v>
      </c>
    </row>
    <row r="488" spans="1:15" x14ac:dyDescent="0.35">
      <c r="A488" s="2" t="s">
        <v>537</v>
      </c>
      <c r="B488" s="2">
        <v>46241</v>
      </c>
      <c r="C488" t="s">
        <v>42</v>
      </c>
      <c r="D488" t="s">
        <v>25</v>
      </c>
      <c r="E488" t="s">
        <v>14</v>
      </c>
      <c r="F488" t="s">
        <v>8</v>
      </c>
      <c r="G488" t="s">
        <v>26</v>
      </c>
      <c r="H488">
        <v>8</v>
      </c>
      <c r="I488" t="s">
        <v>46</v>
      </c>
      <c r="J488">
        <f>VLOOKUP(Shoe_Sales[[#This Row],[Product]],products!$A$1:$C$9,3,0)</f>
        <v>47</v>
      </c>
      <c r="K488">
        <f>VLOOKUP(Shoe_Sales[[#This Row],[Product]],products!$A$1:$C$9,2,FALSE)</f>
        <v>89</v>
      </c>
      <c r="L488">
        <f>Shoe_Sales[[#This Row],[Cost Price]]*Shoe_Sales[[#This Row],[Quantity]]</f>
        <v>376</v>
      </c>
      <c r="M488">
        <f>Shoe_Sales[[#This Row],[Selling Price]]*Shoe_Sales[[#This Row],[Quantity]]</f>
        <v>712</v>
      </c>
      <c r="N488">
        <f>Shoe_Sales[[#This Row],[Revenue]]-Shoe_Sales[[#This Row],[Cost]]</f>
        <v>336</v>
      </c>
      <c r="O488" s="3">
        <f>Shoe_Sales[[#This Row],[Profit]]/Shoe_Sales[[#This Row],[Revenue]]</f>
        <v>0.47191011235955055</v>
      </c>
    </row>
    <row r="489" spans="1:15" x14ac:dyDescent="0.35">
      <c r="A489" s="2" t="s">
        <v>538</v>
      </c>
      <c r="B489" s="2">
        <v>46241</v>
      </c>
      <c r="C489" t="s">
        <v>38</v>
      </c>
      <c r="D489" t="s">
        <v>31</v>
      </c>
      <c r="E489" t="s">
        <v>20</v>
      </c>
      <c r="F489" t="s">
        <v>35</v>
      </c>
      <c r="G489" t="s">
        <v>9</v>
      </c>
      <c r="H489">
        <v>9</v>
      </c>
      <c r="I489" t="s">
        <v>47</v>
      </c>
      <c r="J489">
        <f>VLOOKUP(Shoe_Sales[[#This Row],[Product]],products!$A$1:$C$9,3,0)</f>
        <v>64</v>
      </c>
      <c r="K489">
        <f>VLOOKUP(Shoe_Sales[[#This Row],[Product]],products!$A$1:$C$9,2,FALSE)</f>
        <v>112</v>
      </c>
      <c r="L489">
        <f>Shoe_Sales[[#This Row],[Cost Price]]*Shoe_Sales[[#This Row],[Quantity]]</f>
        <v>576</v>
      </c>
      <c r="M489">
        <f>Shoe_Sales[[#This Row],[Selling Price]]*Shoe_Sales[[#This Row],[Quantity]]</f>
        <v>1008</v>
      </c>
      <c r="N489">
        <f>Shoe_Sales[[#This Row],[Revenue]]-Shoe_Sales[[#This Row],[Cost]]</f>
        <v>432</v>
      </c>
      <c r="O489" s="3">
        <f>Shoe_Sales[[#This Row],[Profit]]/Shoe_Sales[[#This Row],[Revenue]]</f>
        <v>0.42857142857142855</v>
      </c>
    </row>
    <row r="490" spans="1:15" x14ac:dyDescent="0.35">
      <c r="A490" s="2" t="s">
        <v>539</v>
      </c>
      <c r="B490" s="2">
        <v>46242</v>
      </c>
      <c r="C490" t="s">
        <v>27</v>
      </c>
      <c r="D490" t="s">
        <v>10</v>
      </c>
      <c r="E490" t="s">
        <v>11</v>
      </c>
      <c r="F490" t="s">
        <v>8</v>
      </c>
      <c r="G490" t="s">
        <v>21</v>
      </c>
      <c r="H490">
        <v>7</v>
      </c>
      <c r="I490" t="s">
        <v>46</v>
      </c>
      <c r="J490">
        <f>VLOOKUP(Shoe_Sales[[#This Row],[Product]],products!$A$1:$C$9,3,0)</f>
        <v>14</v>
      </c>
      <c r="K490">
        <f>VLOOKUP(Shoe_Sales[[#This Row],[Product]],products!$A$1:$C$9,2,FALSE)</f>
        <v>32</v>
      </c>
      <c r="L490">
        <f>Shoe_Sales[[#This Row],[Cost Price]]*Shoe_Sales[[#This Row],[Quantity]]</f>
        <v>98</v>
      </c>
      <c r="M490">
        <f>Shoe_Sales[[#This Row],[Selling Price]]*Shoe_Sales[[#This Row],[Quantity]]</f>
        <v>224</v>
      </c>
      <c r="N490">
        <f>Shoe_Sales[[#This Row],[Revenue]]-Shoe_Sales[[#This Row],[Cost]]</f>
        <v>126</v>
      </c>
      <c r="O490" s="3">
        <f>Shoe_Sales[[#This Row],[Profit]]/Shoe_Sales[[#This Row],[Revenue]]</f>
        <v>0.5625</v>
      </c>
    </row>
    <row r="491" spans="1:15" x14ac:dyDescent="0.35">
      <c r="A491" s="2" t="s">
        <v>540</v>
      </c>
      <c r="B491" s="2">
        <v>46242</v>
      </c>
      <c r="C491" t="s">
        <v>38</v>
      </c>
      <c r="D491" t="s">
        <v>31</v>
      </c>
      <c r="E491" t="s">
        <v>14</v>
      </c>
      <c r="F491" t="s">
        <v>17</v>
      </c>
      <c r="G491" t="s">
        <v>12</v>
      </c>
      <c r="H491">
        <v>8</v>
      </c>
      <c r="I491" t="s">
        <v>45</v>
      </c>
      <c r="J491">
        <f>VLOOKUP(Shoe_Sales[[#This Row],[Product]],products!$A$1:$C$9,3,0)</f>
        <v>64</v>
      </c>
      <c r="K491">
        <f>VLOOKUP(Shoe_Sales[[#This Row],[Product]],products!$A$1:$C$9,2,FALSE)</f>
        <v>112</v>
      </c>
      <c r="L491">
        <f>Shoe_Sales[[#This Row],[Cost Price]]*Shoe_Sales[[#This Row],[Quantity]]</f>
        <v>512</v>
      </c>
      <c r="M491">
        <f>Shoe_Sales[[#This Row],[Selling Price]]*Shoe_Sales[[#This Row],[Quantity]]</f>
        <v>896</v>
      </c>
      <c r="N491">
        <f>Shoe_Sales[[#This Row],[Revenue]]-Shoe_Sales[[#This Row],[Cost]]</f>
        <v>384</v>
      </c>
      <c r="O491" s="3">
        <f>Shoe_Sales[[#This Row],[Profit]]/Shoe_Sales[[#This Row],[Revenue]]</f>
        <v>0.42857142857142855</v>
      </c>
    </row>
    <row r="492" spans="1:15" x14ac:dyDescent="0.35">
      <c r="A492" s="2" t="s">
        <v>541</v>
      </c>
      <c r="B492" s="2">
        <v>46244</v>
      </c>
      <c r="C492" t="s">
        <v>22</v>
      </c>
      <c r="D492" t="s">
        <v>31</v>
      </c>
      <c r="E492" t="s">
        <v>20</v>
      </c>
      <c r="F492" t="s">
        <v>40</v>
      </c>
      <c r="G492" t="s">
        <v>15</v>
      </c>
      <c r="H492">
        <v>9</v>
      </c>
      <c r="I492" t="s">
        <v>45</v>
      </c>
      <c r="J492">
        <f>VLOOKUP(Shoe_Sales[[#This Row],[Product]],products!$A$1:$C$9,3,0)</f>
        <v>58</v>
      </c>
      <c r="K492">
        <f>VLOOKUP(Shoe_Sales[[#This Row],[Product]],products!$A$1:$C$9,2,FALSE)</f>
        <v>105</v>
      </c>
      <c r="L492">
        <f>Shoe_Sales[[#This Row],[Cost Price]]*Shoe_Sales[[#This Row],[Quantity]]</f>
        <v>522</v>
      </c>
      <c r="M492">
        <f>Shoe_Sales[[#This Row],[Selling Price]]*Shoe_Sales[[#This Row],[Quantity]]</f>
        <v>945</v>
      </c>
      <c r="N492">
        <f>Shoe_Sales[[#This Row],[Revenue]]-Shoe_Sales[[#This Row],[Cost]]</f>
        <v>423</v>
      </c>
      <c r="O492" s="3">
        <f>Shoe_Sales[[#This Row],[Profit]]/Shoe_Sales[[#This Row],[Revenue]]</f>
        <v>0.44761904761904764</v>
      </c>
    </row>
    <row r="493" spans="1:15" x14ac:dyDescent="0.35">
      <c r="A493" s="2" t="s">
        <v>542</v>
      </c>
      <c r="B493" s="2">
        <v>46244</v>
      </c>
      <c r="C493" t="s">
        <v>42</v>
      </c>
      <c r="D493" t="s">
        <v>25</v>
      </c>
      <c r="E493" t="s">
        <v>20</v>
      </c>
      <c r="F493" t="s">
        <v>17</v>
      </c>
      <c r="G493" t="s">
        <v>26</v>
      </c>
      <c r="H493">
        <v>8</v>
      </c>
      <c r="I493" t="s">
        <v>45</v>
      </c>
      <c r="J493">
        <f>VLOOKUP(Shoe_Sales[[#This Row],[Product]],products!$A$1:$C$9,3,0)</f>
        <v>47</v>
      </c>
      <c r="K493">
        <f>VLOOKUP(Shoe_Sales[[#This Row],[Product]],products!$A$1:$C$9,2,FALSE)</f>
        <v>89</v>
      </c>
      <c r="L493">
        <f>Shoe_Sales[[#This Row],[Cost Price]]*Shoe_Sales[[#This Row],[Quantity]]</f>
        <v>376</v>
      </c>
      <c r="M493">
        <f>Shoe_Sales[[#This Row],[Selling Price]]*Shoe_Sales[[#This Row],[Quantity]]</f>
        <v>712</v>
      </c>
      <c r="N493">
        <f>Shoe_Sales[[#This Row],[Revenue]]-Shoe_Sales[[#This Row],[Cost]]</f>
        <v>336</v>
      </c>
      <c r="O493" s="3">
        <f>Shoe_Sales[[#This Row],[Profit]]/Shoe_Sales[[#This Row],[Revenue]]</f>
        <v>0.47191011235955055</v>
      </c>
    </row>
    <row r="494" spans="1:15" x14ac:dyDescent="0.35">
      <c r="A494" s="2" t="s">
        <v>543</v>
      </c>
      <c r="B494" s="2">
        <v>46245</v>
      </c>
      <c r="C494" t="s">
        <v>13</v>
      </c>
      <c r="D494" t="s">
        <v>31</v>
      </c>
      <c r="E494" t="s">
        <v>7</v>
      </c>
      <c r="F494" t="s">
        <v>40</v>
      </c>
      <c r="G494" t="s">
        <v>12</v>
      </c>
      <c r="H494">
        <v>1</v>
      </c>
      <c r="I494" t="s">
        <v>47</v>
      </c>
      <c r="J494">
        <f>VLOOKUP(Shoe_Sales[[#This Row],[Product]],products!$A$1:$C$9,3,0)</f>
        <v>67</v>
      </c>
      <c r="K494">
        <f>VLOOKUP(Shoe_Sales[[#This Row],[Product]],products!$A$1:$C$9,2,FALSE)</f>
        <v>119</v>
      </c>
      <c r="L494">
        <f>Shoe_Sales[[#This Row],[Cost Price]]*Shoe_Sales[[#This Row],[Quantity]]</f>
        <v>67</v>
      </c>
      <c r="M494">
        <f>Shoe_Sales[[#This Row],[Selling Price]]*Shoe_Sales[[#This Row],[Quantity]]</f>
        <v>119</v>
      </c>
      <c r="N494">
        <f>Shoe_Sales[[#This Row],[Revenue]]-Shoe_Sales[[#This Row],[Cost]]</f>
        <v>52</v>
      </c>
      <c r="O494" s="3">
        <f>Shoe_Sales[[#This Row],[Profit]]/Shoe_Sales[[#This Row],[Revenue]]</f>
        <v>0.43697478991596639</v>
      </c>
    </row>
    <row r="495" spans="1:15" x14ac:dyDescent="0.35">
      <c r="A495" s="2" t="s">
        <v>544</v>
      </c>
      <c r="B495" s="2">
        <v>46245</v>
      </c>
      <c r="C495" t="s">
        <v>42</v>
      </c>
      <c r="D495" t="s">
        <v>25</v>
      </c>
      <c r="E495" t="s">
        <v>16</v>
      </c>
      <c r="F495" t="s">
        <v>17</v>
      </c>
      <c r="G495" t="s">
        <v>32</v>
      </c>
      <c r="H495">
        <v>14</v>
      </c>
      <c r="I495" t="s">
        <v>48</v>
      </c>
      <c r="J495">
        <f>VLOOKUP(Shoe_Sales[[#This Row],[Product]],products!$A$1:$C$9,3,0)</f>
        <v>47</v>
      </c>
      <c r="K495">
        <f>VLOOKUP(Shoe_Sales[[#This Row],[Product]],products!$A$1:$C$9,2,FALSE)</f>
        <v>89</v>
      </c>
      <c r="L495">
        <f>Shoe_Sales[[#This Row],[Cost Price]]*Shoe_Sales[[#This Row],[Quantity]]</f>
        <v>658</v>
      </c>
      <c r="M495">
        <f>Shoe_Sales[[#This Row],[Selling Price]]*Shoe_Sales[[#This Row],[Quantity]]</f>
        <v>1246</v>
      </c>
      <c r="N495">
        <f>Shoe_Sales[[#This Row],[Revenue]]-Shoe_Sales[[#This Row],[Cost]]</f>
        <v>588</v>
      </c>
      <c r="O495" s="3">
        <f>Shoe_Sales[[#This Row],[Profit]]/Shoe_Sales[[#This Row],[Revenue]]</f>
        <v>0.47191011235955055</v>
      </c>
    </row>
    <row r="496" spans="1:15" x14ac:dyDescent="0.35">
      <c r="A496" s="2" t="s">
        <v>545</v>
      </c>
      <c r="B496" s="2">
        <v>46246</v>
      </c>
      <c r="C496" t="s">
        <v>33</v>
      </c>
      <c r="D496" t="s">
        <v>19</v>
      </c>
      <c r="E496" t="s">
        <v>11</v>
      </c>
      <c r="F496" t="s">
        <v>8</v>
      </c>
      <c r="G496" t="s">
        <v>18</v>
      </c>
      <c r="H496">
        <v>5</v>
      </c>
      <c r="I496" t="s">
        <v>47</v>
      </c>
      <c r="J496">
        <f>VLOOKUP(Shoe_Sales[[#This Row],[Product]],products!$A$1:$C$9,3,0)</f>
        <v>28</v>
      </c>
      <c r="K496">
        <f>VLOOKUP(Shoe_Sales[[#This Row],[Product]],products!$A$1:$C$9,2,FALSE)</f>
        <v>54</v>
      </c>
      <c r="L496">
        <f>Shoe_Sales[[#This Row],[Cost Price]]*Shoe_Sales[[#This Row],[Quantity]]</f>
        <v>140</v>
      </c>
      <c r="M496">
        <f>Shoe_Sales[[#This Row],[Selling Price]]*Shoe_Sales[[#This Row],[Quantity]]</f>
        <v>270</v>
      </c>
      <c r="N496">
        <f>Shoe_Sales[[#This Row],[Revenue]]-Shoe_Sales[[#This Row],[Cost]]</f>
        <v>130</v>
      </c>
      <c r="O496" s="3">
        <f>Shoe_Sales[[#This Row],[Profit]]/Shoe_Sales[[#This Row],[Revenue]]</f>
        <v>0.48148148148148145</v>
      </c>
    </row>
    <row r="497" spans="1:15" x14ac:dyDescent="0.35">
      <c r="A497" s="2" t="s">
        <v>546</v>
      </c>
      <c r="B497" s="2">
        <v>46246</v>
      </c>
      <c r="C497" t="s">
        <v>39</v>
      </c>
      <c r="D497" t="s">
        <v>25</v>
      </c>
      <c r="E497" t="s">
        <v>7</v>
      </c>
      <c r="F497" t="s">
        <v>8</v>
      </c>
      <c r="G497" t="s">
        <v>24</v>
      </c>
      <c r="H497">
        <v>9</v>
      </c>
      <c r="I497" t="s">
        <v>45</v>
      </c>
      <c r="J497">
        <f>VLOOKUP(Shoe_Sales[[#This Row],[Product]],products!$A$1:$C$9,3,0)</f>
        <v>72</v>
      </c>
      <c r="K497">
        <f>VLOOKUP(Shoe_Sales[[#This Row],[Product]],products!$A$1:$C$9,2,FALSE)</f>
        <v>128</v>
      </c>
      <c r="L497">
        <f>Shoe_Sales[[#This Row],[Cost Price]]*Shoe_Sales[[#This Row],[Quantity]]</f>
        <v>648</v>
      </c>
      <c r="M497">
        <f>Shoe_Sales[[#This Row],[Selling Price]]*Shoe_Sales[[#This Row],[Quantity]]</f>
        <v>1152</v>
      </c>
      <c r="N497">
        <f>Shoe_Sales[[#This Row],[Revenue]]-Shoe_Sales[[#This Row],[Cost]]</f>
        <v>504</v>
      </c>
      <c r="O497" s="3">
        <f>Shoe_Sales[[#This Row],[Profit]]/Shoe_Sales[[#This Row],[Revenue]]</f>
        <v>0.4375</v>
      </c>
    </row>
    <row r="498" spans="1:15" x14ac:dyDescent="0.35">
      <c r="A498" s="2" t="s">
        <v>547</v>
      </c>
      <c r="B498" s="2">
        <v>46246</v>
      </c>
      <c r="C498" t="s">
        <v>39</v>
      </c>
      <c r="D498" t="s">
        <v>25</v>
      </c>
      <c r="E498" t="s">
        <v>7</v>
      </c>
      <c r="F498" t="s">
        <v>17</v>
      </c>
      <c r="G498" t="s">
        <v>21</v>
      </c>
      <c r="H498">
        <v>10</v>
      </c>
      <c r="I498" t="s">
        <v>46</v>
      </c>
      <c r="J498">
        <f>VLOOKUP(Shoe_Sales[[#This Row],[Product]],products!$A$1:$C$9,3,0)</f>
        <v>72</v>
      </c>
      <c r="K498">
        <f>VLOOKUP(Shoe_Sales[[#This Row],[Product]],products!$A$1:$C$9,2,FALSE)</f>
        <v>128</v>
      </c>
      <c r="L498">
        <f>Shoe_Sales[[#This Row],[Cost Price]]*Shoe_Sales[[#This Row],[Quantity]]</f>
        <v>720</v>
      </c>
      <c r="M498">
        <f>Shoe_Sales[[#This Row],[Selling Price]]*Shoe_Sales[[#This Row],[Quantity]]</f>
        <v>1280</v>
      </c>
      <c r="N498">
        <f>Shoe_Sales[[#This Row],[Revenue]]-Shoe_Sales[[#This Row],[Cost]]</f>
        <v>560</v>
      </c>
      <c r="O498" s="3">
        <f>Shoe_Sales[[#This Row],[Profit]]/Shoe_Sales[[#This Row],[Revenue]]</f>
        <v>0.4375</v>
      </c>
    </row>
    <row r="499" spans="1:15" x14ac:dyDescent="0.35">
      <c r="A499" s="2" t="s">
        <v>548</v>
      </c>
      <c r="B499" s="2">
        <v>46247</v>
      </c>
      <c r="C499" t="s">
        <v>38</v>
      </c>
      <c r="D499" t="s">
        <v>10</v>
      </c>
      <c r="E499" t="s">
        <v>16</v>
      </c>
      <c r="F499" t="s">
        <v>29</v>
      </c>
      <c r="G499" t="s">
        <v>26</v>
      </c>
      <c r="H499">
        <v>7</v>
      </c>
      <c r="I499" t="s">
        <v>47</v>
      </c>
      <c r="J499">
        <f>VLOOKUP(Shoe_Sales[[#This Row],[Product]],products!$A$1:$C$9,3,0)</f>
        <v>64</v>
      </c>
      <c r="K499">
        <f>VLOOKUP(Shoe_Sales[[#This Row],[Product]],products!$A$1:$C$9,2,FALSE)</f>
        <v>112</v>
      </c>
      <c r="L499">
        <f>Shoe_Sales[[#This Row],[Cost Price]]*Shoe_Sales[[#This Row],[Quantity]]</f>
        <v>448</v>
      </c>
      <c r="M499">
        <f>Shoe_Sales[[#This Row],[Selling Price]]*Shoe_Sales[[#This Row],[Quantity]]</f>
        <v>784</v>
      </c>
      <c r="N499">
        <f>Shoe_Sales[[#This Row],[Revenue]]-Shoe_Sales[[#This Row],[Cost]]</f>
        <v>336</v>
      </c>
      <c r="O499" s="3">
        <f>Shoe_Sales[[#This Row],[Profit]]/Shoe_Sales[[#This Row],[Revenue]]</f>
        <v>0.42857142857142855</v>
      </c>
    </row>
    <row r="500" spans="1:15" x14ac:dyDescent="0.35">
      <c r="A500" s="2" t="s">
        <v>549</v>
      </c>
      <c r="B500" s="2">
        <v>46248</v>
      </c>
      <c r="C500" t="s">
        <v>38</v>
      </c>
      <c r="D500" t="s">
        <v>10</v>
      </c>
      <c r="E500" t="s">
        <v>20</v>
      </c>
      <c r="F500" t="s">
        <v>8</v>
      </c>
      <c r="G500" t="s">
        <v>21</v>
      </c>
      <c r="H500">
        <v>1</v>
      </c>
      <c r="I500" t="s">
        <v>45</v>
      </c>
      <c r="J500">
        <f>VLOOKUP(Shoe_Sales[[#This Row],[Product]],products!$A$1:$C$9,3,0)</f>
        <v>64</v>
      </c>
      <c r="K500">
        <f>VLOOKUP(Shoe_Sales[[#This Row],[Product]],products!$A$1:$C$9,2,FALSE)</f>
        <v>112</v>
      </c>
      <c r="L500">
        <f>Shoe_Sales[[#This Row],[Cost Price]]*Shoe_Sales[[#This Row],[Quantity]]</f>
        <v>64</v>
      </c>
      <c r="M500">
        <f>Shoe_Sales[[#This Row],[Selling Price]]*Shoe_Sales[[#This Row],[Quantity]]</f>
        <v>112</v>
      </c>
      <c r="N500">
        <f>Shoe_Sales[[#This Row],[Revenue]]-Shoe_Sales[[#This Row],[Cost]]</f>
        <v>48</v>
      </c>
      <c r="O500" s="3">
        <f>Shoe_Sales[[#This Row],[Profit]]/Shoe_Sales[[#This Row],[Revenue]]</f>
        <v>0.42857142857142855</v>
      </c>
    </row>
    <row r="501" spans="1:15" x14ac:dyDescent="0.35">
      <c r="A501" s="2" t="s">
        <v>550</v>
      </c>
      <c r="B501" s="2">
        <v>46248</v>
      </c>
      <c r="C501" t="s">
        <v>42</v>
      </c>
      <c r="D501" t="s">
        <v>25</v>
      </c>
      <c r="E501" t="s">
        <v>20</v>
      </c>
      <c r="F501" t="s">
        <v>17</v>
      </c>
      <c r="G501" t="s">
        <v>21</v>
      </c>
      <c r="H501">
        <v>5</v>
      </c>
      <c r="I501" t="s">
        <v>48</v>
      </c>
      <c r="J501">
        <f>VLOOKUP(Shoe_Sales[[#This Row],[Product]],products!$A$1:$C$9,3,0)</f>
        <v>47</v>
      </c>
      <c r="K501">
        <f>VLOOKUP(Shoe_Sales[[#This Row],[Product]],products!$A$1:$C$9,2,FALSE)</f>
        <v>89</v>
      </c>
      <c r="L501">
        <f>Shoe_Sales[[#This Row],[Cost Price]]*Shoe_Sales[[#This Row],[Quantity]]</f>
        <v>235</v>
      </c>
      <c r="M501">
        <f>Shoe_Sales[[#This Row],[Selling Price]]*Shoe_Sales[[#This Row],[Quantity]]</f>
        <v>445</v>
      </c>
      <c r="N501">
        <f>Shoe_Sales[[#This Row],[Revenue]]-Shoe_Sales[[#This Row],[Cost]]</f>
        <v>210</v>
      </c>
      <c r="O501" s="3">
        <f>Shoe_Sales[[#This Row],[Profit]]/Shoe_Sales[[#This Row],[Revenue]]</f>
        <v>0.47191011235955055</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39237-71DC-4FC7-B8B0-CC6FC8F932D4}">
  <dimension ref="A3:B12"/>
  <sheetViews>
    <sheetView workbookViewId="0">
      <selection activeCell="B4" sqref="B4"/>
    </sheetView>
  </sheetViews>
  <sheetFormatPr defaultRowHeight="14.5" x14ac:dyDescent="0.35"/>
  <cols>
    <col min="1" max="1" width="13.81640625" bestFit="1" customWidth="1"/>
    <col min="2" max="2" width="10.54296875" bestFit="1" customWidth="1"/>
  </cols>
  <sheetData>
    <row r="3" spans="1:2" ht="16" x14ac:dyDescent="0.4">
      <c r="A3" s="9" t="s">
        <v>1</v>
      </c>
      <c r="B3" s="5" t="s">
        <v>559</v>
      </c>
    </row>
    <row r="4" spans="1:2" ht="16" x14ac:dyDescent="0.4">
      <c r="A4" s="10" t="s">
        <v>27</v>
      </c>
      <c r="B4" s="8">
        <v>16704</v>
      </c>
    </row>
    <row r="5" spans="1:2" ht="16" x14ac:dyDescent="0.4">
      <c r="A5" s="10" t="s">
        <v>33</v>
      </c>
      <c r="B5" s="8">
        <v>24462</v>
      </c>
    </row>
    <row r="6" spans="1:2" ht="16" x14ac:dyDescent="0.4">
      <c r="A6" s="10" t="s">
        <v>13</v>
      </c>
      <c r="B6" s="8">
        <v>40698</v>
      </c>
    </row>
    <row r="7" spans="1:2" ht="16" x14ac:dyDescent="0.4">
      <c r="A7" s="10" t="s">
        <v>41</v>
      </c>
      <c r="B7" s="8">
        <v>41040</v>
      </c>
    </row>
    <row r="8" spans="1:2" ht="16" x14ac:dyDescent="0.4">
      <c r="A8" s="10" t="s">
        <v>42</v>
      </c>
      <c r="B8" s="8">
        <v>51175</v>
      </c>
    </row>
    <row r="9" spans="1:2" ht="16" x14ac:dyDescent="0.4">
      <c r="A9" s="10" t="s">
        <v>38</v>
      </c>
      <c r="B9" s="8">
        <v>58576</v>
      </c>
    </row>
    <row r="10" spans="1:2" ht="16" x14ac:dyDescent="0.4">
      <c r="A10" s="10" t="s">
        <v>22</v>
      </c>
      <c r="B10" s="8">
        <v>58905</v>
      </c>
    </row>
    <row r="11" spans="1:2" ht="16" x14ac:dyDescent="0.4">
      <c r="A11" s="10" t="s">
        <v>39</v>
      </c>
      <c r="B11" s="8">
        <v>63488</v>
      </c>
    </row>
    <row r="12" spans="1:2" ht="16" x14ac:dyDescent="0.4">
      <c r="A12" s="10" t="s">
        <v>556</v>
      </c>
      <c r="B12" s="8">
        <v>355048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7025B-7568-48DA-AE45-AD1037878343}">
  <dimension ref="A2:CF513"/>
  <sheetViews>
    <sheetView showGridLines="0" topLeftCell="AZ1" zoomScale="90" zoomScaleNormal="90" workbookViewId="0">
      <selection activeCell="BG20" sqref="BG20"/>
    </sheetView>
  </sheetViews>
  <sheetFormatPr defaultRowHeight="16" x14ac:dyDescent="0.4"/>
  <cols>
    <col min="1" max="1" width="8.7265625" style="5"/>
    <col min="2" max="2" width="14.81640625" style="5" bestFit="1" customWidth="1"/>
    <col min="3" max="3" width="10.7265625" style="5" bestFit="1" customWidth="1"/>
    <col min="4" max="4" width="9.1796875" style="5" bestFit="1" customWidth="1"/>
    <col min="5" max="5" width="15.54296875" style="5" bestFit="1" customWidth="1"/>
    <col min="6" max="6" width="18.36328125" style="5" bestFit="1" customWidth="1"/>
    <col min="7" max="7" width="5.36328125" style="5" customWidth="1"/>
    <col min="8" max="8" width="3.1796875" style="15" customWidth="1"/>
    <col min="9" max="9" width="4.453125" style="5" customWidth="1"/>
    <col min="10" max="10" width="13.81640625" style="5" bestFit="1" customWidth="1"/>
    <col min="11" max="11" width="10.7265625" style="5" bestFit="1" customWidth="1"/>
    <col min="12" max="12" width="10.08984375" style="5" bestFit="1" customWidth="1"/>
    <col min="13" max="13" width="10.26953125" style="5" customWidth="1"/>
    <col min="14" max="14" width="20.26953125" style="5" bestFit="1" customWidth="1"/>
    <col min="15" max="15" width="10.54296875" style="5" bestFit="1" customWidth="1"/>
    <col min="16" max="16" width="10.36328125" style="5" bestFit="1" customWidth="1"/>
    <col min="17" max="17" width="8.7265625" style="5"/>
    <col min="18" max="18" width="3.1796875" style="15" customWidth="1"/>
    <col min="19" max="19" width="8.7265625" style="5"/>
    <col min="20" max="20" width="13.81640625" style="5" bestFit="1" customWidth="1"/>
    <col min="21" max="21" width="10.7265625" style="5" bestFit="1" customWidth="1"/>
    <col min="22" max="22" width="10" style="5" bestFit="1" customWidth="1"/>
    <col min="23" max="23" width="10.7265625" style="5" bestFit="1" customWidth="1"/>
    <col min="24" max="24" width="10.08984375" style="5" bestFit="1" customWidth="1"/>
    <col min="25" max="30" width="8.7265625" style="5"/>
    <col min="31" max="31" width="3.54296875" style="15" customWidth="1"/>
    <col min="32" max="32" width="8.7265625" style="5"/>
    <col min="33" max="33" width="13.81640625" style="5" bestFit="1" customWidth="1"/>
    <col min="34" max="34" width="10.08984375" style="5" bestFit="1" customWidth="1"/>
    <col min="35" max="35" width="17.7265625" style="5" bestFit="1" customWidth="1"/>
    <col min="36" max="43" width="8.7265625" style="5"/>
    <col min="44" max="44" width="3.54296875" style="15" customWidth="1"/>
    <col min="45" max="45" width="8.90625" style="5" bestFit="1" customWidth="1"/>
    <col min="46" max="46" width="14.6328125" style="5" bestFit="1" customWidth="1"/>
    <col min="47" max="47" width="10.7265625" style="24" bestFit="1" customWidth="1"/>
    <col min="48" max="48" width="10.08984375" style="5" bestFit="1" customWidth="1"/>
    <col min="49" max="49" width="10.6328125" style="5" bestFit="1" customWidth="1"/>
    <col min="50" max="50" width="8.90625" style="5" bestFit="1" customWidth="1"/>
    <col min="51" max="51" width="10.6328125" style="5" bestFit="1" customWidth="1"/>
    <col min="52" max="52" width="8.90625" style="5" bestFit="1" customWidth="1"/>
    <col min="53" max="53" width="10.6328125" style="5" bestFit="1" customWidth="1"/>
    <col min="54" max="54" width="8.90625" style="5" bestFit="1" customWidth="1"/>
    <col min="55" max="55" width="17" style="5" bestFit="1" customWidth="1"/>
    <col min="56" max="56" width="13.81640625" style="5" bestFit="1" customWidth="1"/>
    <col min="57" max="57" width="10.7265625" style="5" bestFit="1" customWidth="1"/>
    <col min="58" max="58" width="10.90625" style="5" bestFit="1" customWidth="1"/>
    <col min="59" max="63" width="8.7265625" style="5"/>
    <col min="64" max="64" width="3.1796875" style="15" customWidth="1"/>
    <col min="65" max="65" width="7.453125" style="5" customWidth="1"/>
    <col min="66" max="66" width="19.08984375" style="5" customWidth="1"/>
    <col min="67" max="67" width="10.90625" style="5" bestFit="1" customWidth="1"/>
    <col min="68" max="68" width="15" style="5" bestFit="1" customWidth="1"/>
    <col min="69" max="72" width="8.7265625" style="5"/>
    <col min="73" max="73" width="3.1796875" style="15" customWidth="1"/>
    <col min="74" max="74" width="6" style="5" customWidth="1"/>
    <col min="75" max="75" width="14.81640625" style="5" bestFit="1" customWidth="1"/>
    <col min="76" max="76" width="21.7265625" style="5" bestFit="1" customWidth="1"/>
    <col min="77" max="77" width="16.1796875" style="5" bestFit="1" customWidth="1"/>
    <col min="78" max="78" width="6.08984375" style="5" bestFit="1" customWidth="1"/>
    <col min="79" max="79" width="16.36328125" style="5" bestFit="1" customWidth="1"/>
    <col min="80" max="80" width="13.81640625" style="5" bestFit="1" customWidth="1"/>
    <col min="81" max="81" width="14.26953125" style="5" bestFit="1" customWidth="1"/>
    <col min="82" max="82" width="9" style="5" bestFit="1" customWidth="1"/>
    <col min="83" max="83" width="9.36328125" style="5" bestFit="1" customWidth="1"/>
    <col min="84" max="84" width="13.81640625" style="5" bestFit="1" customWidth="1"/>
    <col min="85" max="16384" width="8.7265625" style="5"/>
  </cols>
  <sheetData>
    <row r="2" spans="1:84" s="12" customFormat="1" ht="18.5" x14ac:dyDescent="0.45">
      <c r="A2" s="17">
        <v>1</v>
      </c>
      <c r="B2" s="11" t="s">
        <v>560</v>
      </c>
      <c r="C2" s="11"/>
      <c r="H2" s="14"/>
      <c r="I2" s="17">
        <v>2</v>
      </c>
      <c r="J2" s="11" t="s">
        <v>562</v>
      </c>
      <c r="K2" s="11"/>
      <c r="R2" s="14"/>
      <c r="S2" s="17">
        <v>3</v>
      </c>
      <c r="T2" s="11" t="s">
        <v>576</v>
      </c>
      <c r="U2" s="11"/>
      <c r="AE2" s="14"/>
      <c r="AF2" s="17">
        <v>4</v>
      </c>
      <c r="AG2" s="11" t="s">
        <v>577</v>
      </c>
      <c r="AH2" s="11"/>
      <c r="AR2" s="14"/>
      <c r="AS2" s="17">
        <v>5</v>
      </c>
      <c r="AT2" s="11" t="s">
        <v>578</v>
      </c>
      <c r="AU2" s="22"/>
      <c r="BC2" s="17">
        <v>5</v>
      </c>
      <c r="BD2" s="11" t="s">
        <v>579</v>
      </c>
      <c r="BE2" s="22"/>
      <c r="BL2" s="14"/>
      <c r="BM2" s="17">
        <v>6</v>
      </c>
      <c r="BN2" s="6" t="s">
        <v>580</v>
      </c>
      <c r="BO2" s="11"/>
      <c r="BU2" s="14"/>
      <c r="BV2" s="17">
        <v>7</v>
      </c>
      <c r="BW2" s="11" t="s">
        <v>583</v>
      </c>
      <c r="BX2" s="22"/>
    </row>
    <row r="3" spans="1:84" x14ac:dyDescent="0.4">
      <c r="B3" s="5" t="s">
        <v>561</v>
      </c>
      <c r="C3" s="5" t="s">
        <v>559</v>
      </c>
      <c r="D3" s="13" t="s">
        <v>558</v>
      </c>
      <c r="E3" s="5" t="s">
        <v>557</v>
      </c>
      <c r="F3" s="33" t="s">
        <v>573</v>
      </c>
      <c r="J3" s="9" t="s">
        <v>571</v>
      </c>
      <c r="K3" s="5" t="s">
        <v>559</v>
      </c>
      <c r="L3" s="5" t="s">
        <v>558</v>
      </c>
      <c r="M3" s="4"/>
      <c r="T3" s="9" t="s">
        <v>1</v>
      </c>
      <c r="U3" s="5" t="s">
        <v>559</v>
      </c>
      <c r="V3" s="5" t="s">
        <v>572</v>
      </c>
      <c r="AG3" s="9" t="s">
        <v>1</v>
      </c>
      <c r="AH3" s="5" t="s">
        <v>558</v>
      </c>
      <c r="AI3" s="5" t="s">
        <v>582</v>
      </c>
      <c r="AT3" s="9" t="s">
        <v>4</v>
      </c>
      <c r="AU3" s="21" t="s">
        <v>559</v>
      </c>
      <c r="AV3" s="21" t="s">
        <v>558</v>
      </c>
      <c r="AW3"/>
      <c r="BD3" s="9" t="s">
        <v>4</v>
      </c>
      <c r="BE3" s="5" t="s">
        <v>559</v>
      </c>
      <c r="BF3"/>
      <c r="BN3" s="9" t="s">
        <v>5</v>
      </c>
      <c r="BO3" s="5" t="s">
        <v>559</v>
      </c>
      <c r="BP3" s="5" t="s">
        <v>584</v>
      </c>
      <c r="BW3" s="9" t="s">
        <v>561</v>
      </c>
      <c r="BX3" s="9" t="s">
        <v>581</v>
      </c>
      <c r="CC3"/>
      <c r="CD3"/>
      <c r="CE3"/>
      <c r="CF3"/>
    </row>
    <row r="4" spans="1:84" x14ac:dyDescent="0.4">
      <c r="B4" s="34">
        <v>500</v>
      </c>
      <c r="C4" s="28">
        <v>355048</v>
      </c>
      <c r="D4" s="28">
        <v>162335</v>
      </c>
      <c r="E4" s="29">
        <v>4012</v>
      </c>
      <c r="F4" s="35">
        <v>0.45721986886280164</v>
      </c>
      <c r="G4" s="7"/>
      <c r="H4" s="16"/>
      <c r="J4" s="10" t="s">
        <v>563</v>
      </c>
      <c r="K4" s="8">
        <v>43801</v>
      </c>
      <c r="L4" s="8">
        <v>20299</v>
      </c>
      <c r="M4" s="4"/>
      <c r="T4" s="10" t="s">
        <v>39</v>
      </c>
      <c r="U4" s="8">
        <v>63488</v>
      </c>
      <c r="V4" s="32">
        <v>496</v>
      </c>
      <c r="AG4" s="10" t="s">
        <v>39</v>
      </c>
      <c r="AH4" s="8">
        <v>27776</v>
      </c>
      <c r="AI4" s="7">
        <v>0.4375</v>
      </c>
      <c r="AT4" s="10" t="s">
        <v>8</v>
      </c>
      <c r="AU4" s="23">
        <v>123543</v>
      </c>
      <c r="AV4" s="8">
        <v>56574</v>
      </c>
      <c r="AW4"/>
      <c r="BD4" s="10" t="s">
        <v>25</v>
      </c>
      <c r="BE4" s="23">
        <v>179935</v>
      </c>
      <c r="BF4"/>
      <c r="BN4" s="10" t="s">
        <v>21</v>
      </c>
      <c r="BO4" s="8">
        <v>39127</v>
      </c>
      <c r="BP4" s="23">
        <v>17892</v>
      </c>
      <c r="BW4" s="9" t="s">
        <v>1</v>
      </c>
      <c r="BX4" s="24" t="s">
        <v>46</v>
      </c>
      <c r="BY4" s="5" t="s">
        <v>45</v>
      </c>
      <c r="BZ4" s="5" t="s">
        <v>47</v>
      </c>
      <c r="CA4" s="5" t="s">
        <v>48</v>
      </c>
      <c r="CB4" s="5" t="s">
        <v>556</v>
      </c>
      <c r="CC4"/>
      <c r="CD4"/>
      <c r="CE4"/>
      <c r="CF4"/>
    </row>
    <row r="5" spans="1:84" x14ac:dyDescent="0.4">
      <c r="C5" s="8"/>
      <c r="D5" s="8"/>
      <c r="E5" s="26"/>
      <c r="F5" s="7"/>
      <c r="J5" s="10" t="s">
        <v>564</v>
      </c>
      <c r="K5" s="8">
        <v>40664</v>
      </c>
      <c r="L5" s="8">
        <v>18698</v>
      </c>
      <c r="M5" s="4"/>
      <c r="T5" s="10" t="s">
        <v>22</v>
      </c>
      <c r="U5" s="8">
        <v>58905</v>
      </c>
      <c r="V5" s="32">
        <v>561</v>
      </c>
      <c r="AG5" s="10" t="s">
        <v>22</v>
      </c>
      <c r="AH5" s="8">
        <v>26367</v>
      </c>
      <c r="AI5" s="7">
        <v>0.44761904761904764</v>
      </c>
      <c r="AT5" s="10" t="s">
        <v>17</v>
      </c>
      <c r="AU5" s="23">
        <v>94797</v>
      </c>
      <c r="AV5" s="8">
        <v>43424</v>
      </c>
      <c r="AW5"/>
      <c r="BD5" s="10" t="s">
        <v>10</v>
      </c>
      <c r="BE5" s="23">
        <v>82917</v>
      </c>
      <c r="BF5"/>
      <c r="BN5" s="10" t="s">
        <v>18</v>
      </c>
      <c r="BO5" s="8">
        <v>32871</v>
      </c>
      <c r="BP5" s="23">
        <v>15393</v>
      </c>
      <c r="BW5" s="10" t="s">
        <v>39</v>
      </c>
      <c r="BX5" s="34">
        <v>13</v>
      </c>
      <c r="BY5" s="36">
        <v>23</v>
      </c>
      <c r="BZ5" s="34">
        <v>17</v>
      </c>
      <c r="CA5" s="36">
        <v>8</v>
      </c>
      <c r="CB5" s="34">
        <v>61</v>
      </c>
      <c r="CC5"/>
      <c r="CD5"/>
      <c r="CE5"/>
      <c r="CF5"/>
    </row>
    <row r="6" spans="1:84" x14ac:dyDescent="0.4">
      <c r="J6" s="10" t="s">
        <v>565</v>
      </c>
      <c r="K6" s="8">
        <v>45492</v>
      </c>
      <c r="L6" s="8">
        <v>20869</v>
      </c>
      <c r="M6" s="4"/>
      <c r="T6" s="10" t="s">
        <v>38</v>
      </c>
      <c r="U6" s="8">
        <v>58576</v>
      </c>
      <c r="V6" s="32">
        <v>523</v>
      </c>
      <c r="AG6" s="10" t="s">
        <v>38</v>
      </c>
      <c r="AH6" s="8">
        <v>25104</v>
      </c>
      <c r="AI6" s="7">
        <v>0.42857142857142855</v>
      </c>
      <c r="AT6" s="10" t="s">
        <v>40</v>
      </c>
      <c r="AU6" s="23">
        <v>54029</v>
      </c>
      <c r="AV6" s="8">
        <v>24513</v>
      </c>
      <c r="AW6"/>
      <c r="BD6" s="10" t="s">
        <v>31</v>
      </c>
      <c r="BE6" s="23">
        <v>53035</v>
      </c>
      <c r="BF6"/>
      <c r="BN6" s="10" t="s">
        <v>15</v>
      </c>
      <c r="BO6" s="8">
        <v>32026</v>
      </c>
      <c r="BP6" s="23">
        <v>14468</v>
      </c>
      <c r="BW6" s="10" t="s">
        <v>41</v>
      </c>
      <c r="BX6" s="34">
        <v>20</v>
      </c>
      <c r="BY6" s="37">
        <v>21</v>
      </c>
      <c r="BZ6" s="34">
        <v>12</v>
      </c>
      <c r="CA6" s="34">
        <v>18</v>
      </c>
      <c r="CB6" s="34">
        <v>71</v>
      </c>
      <c r="CC6"/>
      <c r="CD6"/>
      <c r="CE6"/>
      <c r="CF6"/>
    </row>
    <row r="7" spans="1:84" x14ac:dyDescent="0.4">
      <c r="J7" s="10" t="s">
        <v>566</v>
      </c>
      <c r="K7" s="8">
        <v>44204</v>
      </c>
      <c r="L7" s="8">
        <v>20067</v>
      </c>
      <c r="M7" s="4"/>
      <c r="T7" s="10" t="s">
        <v>42</v>
      </c>
      <c r="U7" s="8">
        <v>51175</v>
      </c>
      <c r="V7" s="32">
        <v>575</v>
      </c>
      <c r="AG7" s="10" t="s">
        <v>42</v>
      </c>
      <c r="AH7" s="8">
        <v>24150</v>
      </c>
      <c r="AI7" s="7">
        <v>0.47191011235955055</v>
      </c>
      <c r="AT7" s="10" t="s">
        <v>29</v>
      </c>
      <c r="AU7" s="23">
        <v>43855</v>
      </c>
      <c r="AV7" s="8">
        <v>19932</v>
      </c>
      <c r="AW7"/>
      <c r="BD7" s="10" t="s">
        <v>19</v>
      </c>
      <c r="BE7" s="23">
        <v>39161</v>
      </c>
      <c r="BF7"/>
      <c r="BN7" s="10" t="s">
        <v>37</v>
      </c>
      <c r="BO7" s="8">
        <v>30124</v>
      </c>
      <c r="BP7" s="23">
        <v>13584</v>
      </c>
      <c r="BW7" s="10" t="s">
        <v>38</v>
      </c>
      <c r="BX7" s="34">
        <v>15</v>
      </c>
      <c r="BY7" s="37">
        <v>18</v>
      </c>
      <c r="BZ7" s="34">
        <v>15</v>
      </c>
      <c r="CA7" s="34">
        <v>15</v>
      </c>
      <c r="CB7" s="34">
        <v>63</v>
      </c>
      <c r="CC7"/>
      <c r="CD7"/>
      <c r="CE7"/>
      <c r="CF7"/>
    </row>
    <row r="8" spans="1:84" x14ac:dyDescent="0.4">
      <c r="J8" s="10" t="s">
        <v>567</v>
      </c>
      <c r="K8" s="8">
        <v>44578</v>
      </c>
      <c r="L8" s="8">
        <v>20407</v>
      </c>
      <c r="M8" s="4"/>
      <c r="T8" s="10" t="s">
        <v>41</v>
      </c>
      <c r="U8" s="8">
        <v>41040</v>
      </c>
      <c r="V8" s="32">
        <v>540</v>
      </c>
      <c r="AG8" s="10" t="s">
        <v>41</v>
      </c>
      <c r="AH8" s="8">
        <v>19980</v>
      </c>
      <c r="AI8" s="7">
        <v>0.48684210526315791</v>
      </c>
      <c r="AT8" s="10" t="s">
        <v>35</v>
      </c>
      <c r="AU8" s="23">
        <v>38824</v>
      </c>
      <c r="AV8" s="8">
        <v>17892</v>
      </c>
      <c r="AW8"/>
      <c r="BD8" s="10" t="s">
        <v>556</v>
      </c>
      <c r="BE8" s="23">
        <v>355048</v>
      </c>
      <c r="BF8"/>
      <c r="BN8" s="10" t="s">
        <v>24</v>
      </c>
      <c r="BO8" s="8">
        <v>29392</v>
      </c>
      <c r="BP8" s="23">
        <v>13441</v>
      </c>
      <c r="BW8" s="10" t="s">
        <v>33</v>
      </c>
      <c r="BX8" s="34">
        <v>14</v>
      </c>
      <c r="BY8" s="37">
        <v>17</v>
      </c>
      <c r="BZ8" s="34">
        <v>13</v>
      </c>
      <c r="CA8" s="34">
        <v>12</v>
      </c>
      <c r="CB8" s="34">
        <v>56</v>
      </c>
      <c r="CC8"/>
      <c r="CD8"/>
      <c r="CE8"/>
      <c r="CF8"/>
    </row>
    <row r="9" spans="1:84" x14ac:dyDescent="0.4">
      <c r="J9" s="10" t="s">
        <v>568</v>
      </c>
      <c r="K9" s="8">
        <v>70771</v>
      </c>
      <c r="L9" s="8">
        <v>32123</v>
      </c>
      <c r="M9" s="4"/>
      <c r="T9" s="10" t="s">
        <v>13</v>
      </c>
      <c r="U9" s="8">
        <v>40698</v>
      </c>
      <c r="V9" s="32">
        <v>342</v>
      </c>
      <c r="AG9" s="10" t="s">
        <v>13</v>
      </c>
      <c r="AH9" s="8">
        <v>17784</v>
      </c>
      <c r="AI9" s="7">
        <v>0.43697478991596639</v>
      </c>
      <c r="AT9" s="10" t="s">
        <v>556</v>
      </c>
      <c r="AU9" s="23">
        <v>355048</v>
      </c>
      <c r="AV9" s="8">
        <v>162335</v>
      </c>
      <c r="AW9"/>
      <c r="BD9"/>
      <c r="BE9"/>
      <c r="BF9"/>
      <c r="BN9" s="10" t="s">
        <v>556</v>
      </c>
      <c r="BO9" s="8">
        <v>163540</v>
      </c>
      <c r="BP9" s="8">
        <v>74778</v>
      </c>
      <c r="BW9" s="10" t="s">
        <v>42</v>
      </c>
      <c r="BX9" s="34">
        <v>18</v>
      </c>
      <c r="BY9" s="34">
        <v>16</v>
      </c>
      <c r="BZ9" s="36">
        <v>21</v>
      </c>
      <c r="CA9" s="34">
        <v>14</v>
      </c>
      <c r="CB9" s="34">
        <v>69</v>
      </c>
      <c r="CC9"/>
      <c r="CD9"/>
      <c r="CE9"/>
      <c r="CF9"/>
    </row>
    <row r="10" spans="1:84" x14ac:dyDescent="0.4">
      <c r="J10" s="10" t="s">
        <v>569</v>
      </c>
      <c r="K10" s="8">
        <v>49497</v>
      </c>
      <c r="L10" s="8">
        <v>22517</v>
      </c>
      <c r="M10" s="4"/>
      <c r="T10" s="10" t="s">
        <v>33</v>
      </c>
      <c r="U10" s="8">
        <v>24462</v>
      </c>
      <c r="V10" s="32">
        <v>453</v>
      </c>
      <c r="AG10" s="10" t="s">
        <v>33</v>
      </c>
      <c r="AH10" s="8">
        <v>11778</v>
      </c>
      <c r="AI10" s="7">
        <v>0.48148148148148145</v>
      </c>
      <c r="AT10"/>
      <c r="AU10"/>
      <c r="AV10"/>
      <c r="AW10"/>
      <c r="BN10"/>
      <c r="BO10"/>
      <c r="BP10"/>
      <c r="BW10" s="10" t="s">
        <v>22</v>
      </c>
      <c r="BX10" s="37">
        <v>19</v>
      </c>
      <c r="BY10" s="34">
        <v>15</v>
      </c>
      <c r="BZ10" s="34">
        <v>16</v>
      </c>
      <c r="CA10" s="34">
        <v>12</v>
      </c>
      <c r="CB10" s="34">
        <v>62</v>
      </c>
    </row>
    <row r="11" spans="1:84" x14ac:dyDescent="0.4">
      <c r="J11" s="10" t="s">
        <v>570</v>
      </c>
      <c r="K11" s="8">
        <v>16041</v>
      </c>
      <c r="L11" s="8">
        <v>7355</v>
      </c>
      <c r="M11" s="4"/>
      <c r="T11" s="10" t="s">
        <v>27</v>
      </c>
      <c r="U11" s="8">
        <v>16704</v>
      </c>
      <c r="V11" s="32">
        <v>522</v>
      </c>
      <c r="AG11" s="10" t="s">
        <v>27</v>
      </c>
      <c r="AH11" s="8">
        <v>9396</v>
      </c>
      <c r="AI11" s="7">
        <v>0.5625</v>
      </c>
      <c r="AT11" t="str">
        <f>AT4</f>
        <v>Clarks</v>
      </c>
      <c r="AU11" s="3">
        <f>GETPIVOTDATA("Revenue ",$AT$3,"Brand","Clarks")/GETPIVOTDATA("Revenue ",$AT$3)</f>
        <v>0.34796140240192874</v>
      </c>
      <c r="AV11"/>
      <c r="AW11"/>
      <c r="AX11"/>
      <c r="AY11"/>
      <c r="AZ11"/>
      <c r="BA11"/>
      <c r="BB11"/>
      <c r="BC11"/>
      <c r="BN11"/>
      <c r="BO11"/>
      <c r="BP11"/>
      <c r="BW11" s="10" t="s">
        <v>27</v>
      </c>
      <c r="BX11" s="37">
        <v>20</v>
      </c>
      <c r="BY11" s="34">
        <v>14</v>
      </c>
      <c r="BZ11" s="34">
        <v>18</v>
      </c>
      <c r="CA11" s="34">
        <v>14</v>
      </c>
      <c r="CB11" s="34">
        <v>66</v>
      </c>
    </row>
    <row r="12" spans="1:84" x14ac:dyDescent="0.4">
      <c r="J12" s="10" t="s">
        <v>556</v>
      </c>
      <c r="K12" s="8">
        <v>355048</v>
      </c>
      <c r="L12" s="8">
        <v>162335</v>
      </c>
      <c r="M12" s="4"/>
      <c r="T12" s="10" t="s">
        <v>556</v>
      </c>
      <c r="U12" s="8">
        <v>355048</v>
      </c>
      <c r="V12" s="26">
        <v>4012</v>
      </c>
      <c r="AG12" s="10" t="s">
        <v>556</v>
      </c>
      <c r="AH12" s="8">
        <v>162335</v>
      </c>
      <c r="AI12" s="7">
        <v>0.45721986886280164</v>
      </c>
      <c r="AT12" t="str">
        <f>AT5</f>
        <v>Zara</v>
      </c>
      <c r="AU12" s="3">
        <f>GETPIVOTDATA("Revenue ",$AT$3,"Brand","Zara")/GETPIVOTDATA("Revenue ",$AT$3)</f>
        <v>0.26699770171920417</v>
      </c>
      <c r="AV12"/>
      <c r="AW12"/>
      <c r="AX12"/>
      <c r="AY12"/>
      <c r="AZ12"/>
      <c r="BA12"/>
      <c r="BB12"/>
      <c r="BC12"/>
      <c r="BN12"/>
      <c r="BO12"/>
      <c r="BP12"/>
      <c r="BW12" s="10" t="s">
        <v>13</v>
      </c>
      <c r="BX12" s="37">
        <v>18</v>
      </c>
      <c r="BY12" s="34">
        <v>11</v>
      </c>
      <c r="BZ12" s="34">
        <v>13</v>
      </c>
      <c r="CA12" s="34">
        <v>10</v>
      </c>
      <c r="CB12" s="34">
        <v>52</v>
      </c>
    </row>
    <row r="13" spans="1:84" x14ac:dyDescent="0.4">
      <c r="J13" s="10"/>
      <c r="K13" s="8"/>
      <c r="L13" s="8"/>
      <c r="M13" s="4"/>
      <c r="T13" s="10"/>
      <c r="U13" s="8"/>
      <c r="AG13" s="10"/>
      <c r="AH13" s="8"/>
      <c r="AI13" s="7"/>
      <c r="AT13"/>
      <c r="AU13" s="31">
        <f>SUM(AU11:AU12)</f>
        <v>0.61495910412113286</v>
      </c>
      <c r="AV13"/>
      <c r="AW13"/>
      <c r="AX13"/>
      <c r="AY13"/>
      <c r="AZ13"/>
      <c r="BA13"/>
      <c r="BB13"/>
      <c r="BC13"/>
      <c r="BN13"/>
      <c r="BO13"/>
      <c r="BP13"/>
      <c r="BW13" s="10" t="s">
        <v>556</v>
      </c>
      <c r="BX13" s="32">
        <v>137</v>
      </c>
      <c r="BY13" s="32">
        <v>135</v>
      </c>
      <c r="BZ13" s="32">
        <v>125</v>
      </c>
      <c r="CA13" s="32">
        <v>103</v>
      </c>
      <c r="CB13" s="32">
        <v>500</v>
      </c>
    </row>
    <row r="14" spans="1:84" x14ac:dyDescent="0.4">
      <c r="J14" s="4"/>
      <c r="K14" s="8"/>
      <c r="L14" s="8"/>
      <c r="M14" s="4"/>
      <c r="N14" s="4"/>
      <c r="T14" s="20" t="s">
        <v>575</v>
      </c>
      <c r="AG14" s="20" t="s">
        <v>574</v>
      </c>
      <c r="AT14"/>
      <c r="AU14"/>
      <c r="AV14"/>
      <c r="AW14"/>
      <c r="AX14"/>
      <c r="AY14"/>
      <c r="AZ14"/>
      <c r="BA14"/>
      <c r="BB14"/>
      <c r="BC14"/>
      <c r="BN14"/>
      <c r="BO14"/>
      <c r="BP14"/>
      <c r="BW14"/>
      <c r="BX14"/>
      <c r="BY14"/>
      <c r="BZ14"/>
      <c r="CA14"/>
      <c r="CB14"/>
    </row>
    <row r="15" spans="1:84" x14ac:dyDescent="0.4">
      <c r="J15" s="4"/>
      <c r="K15" s="8"/>
      <c r="L15" s="8"/>
      <c r="M15" s="4"/>
      <c r="N15" s="4"/>
      <c r="T15" s="5" t="str">
        <f>T4</f>
        <v>Canvas</v>
      </c>
      <c r="U15" s="18">
        <f>U4/GETPIVOTDATA("Revenue ",$T$3)</f>
        <v>0.17881525878191118</v>
      </c>
      <c r="AG15" s="5" t="str">
        <f>AG4</f>
        <v>Canvas</v>
      </c>
      <c r="AH15" s="18">
        <f>GETPIVOTDATA("Profit ",$AG$3,"Product","Canvas")/GETPIVOTDATA("Profit ",$AG$3)</f>
        <v>0.17110296608864387</v>
      </c>
      <c r="AK15" s="18"/>
      <c r="AT15"/>
      <c r="AU15"/>
      <c r="AV15"/>
      <c r="AW15"/>
      <c r="AX15"/>
      <c r="AY15"/>
      <c r="AZ15"/>
      <c r="BA15"/>
      <c r="BB15"/>
      <c r="BC15"/>
      <c r="BN15"/>
      <c r="BO15"/>
      <c r="BP15"/>
      <c r="BW15"/>
      <c r="BX15"/>
      <c r="BY15"/>
      <c r="BZ15"/>
      <c r="CA15"/>
      <c r="CB15"/>
    </row>
    <row r="16" spans="1:84" x14ac:dyDescent="0.4">
      <c r="J16" s="4"/>
      <c r="K16" s="8"/>
      <c r="L16" s="8"/>
      <c r="M16" s="4"/>
      <c r="N16" s="4"/>
      <c r="T16" s="5" t="str">
        <f t="shared" ref="T16:T17" si="0">T5</f>
        <v>Oxford</v>
      </c>
      <c r="U16" s="18">
        <f>U5/GETPIVOTDATA("Revenue ",$T$3)</f>
        <v>0.1659071449494153</v>
      </c>
      <c r="AG16" s="5" t="str">
        <f t="shared" ref="AG16" si="1">AG5</f>
        <v>Oxford</v>
      </c>
      <c r="AH16" s="18">
        <f>GETPIVOTDATA("Profit ",$AG$3,"Product","Oxford")/GETPIVOTDATA("Profit ",$AG$3)</f>
        <v>0.16242338374349338</v>
      </c>
      <c r="AT16"/>
      <c r="AU16"/>
      <c r="AV16"/>
      <c r="AW16"/>
      <c r="AX16"/>
      <c r="AY16"/>
      <c r="AZ16"/>
      <c r="BA16"/>
      <c r="BB16"/>
      <c r="BC16"/>
      <c r="BN16"/>
      <c r="BO16"/>
      <c r="BP16"/>
      <c r="BW16"/>
      <c r="BX16"/>
      <c r="BY16"/>
      <c r="BZ16"/>
      <c r="CA16"/>
      <c r="CB16"/>
    </row>
    <row r="17" spans="10:80" x14ac:dyDescent="0.4">
      <c r="J17" s="4"/>
      <c r="K17" s="8"/>
      <c r="L17" s="8"/>
      <c r="M17" s="4"/>
      <c r="N17" s="4"/>
      <c r="T17" s="5" t="str">
        <f t="shared" si="0"/>
        <v>Brogues</v>
      </c>
      <c r="U17" s="18">
        <f>U6/GETPIVOTDATA("Revenue ",$T$3)</f>
        <v>0.16498050967756472</v>
      </c>
      <c r="AG17" s="5" t="str">
        <f t="shared" ref="AG17" si="2">AG6</f>
        <v>Brogues</v>
      </c>
      <c r="AH17" s="18">
        <f>GETPIVOTDATA("Profit ",$AG$3,"Product","Brogues")/GETPIVOTDATA("Profit ",$AG$3)</f>
        <v>0.15464317614808884</v>
      </c>
      <c r="AT17"/>
      <c r="AU17"/>
      <c r="AV17"/>
      <c r="AW17"/>
      <c r="AX17"/>
      <c r="AY17"/>
      <c r="AZ17"/>
      <c r="BA17"/>
      <c r="BB17"/>
      <c r="BC17"/>
      <c r="BN17"/>
      <c r="BO17"/>
      <c r="BP17"/>
      <c r="BW17"/>
      <c r="BX17"/>
      <c r="BY17"/>
      <c r="BZ17"/>
      <c r="CA17"/>
      <c r="CB17"/>
    </row>
    <row r="18" spans="10:80" x14ac:dyDescent="0.4">
      <c r="J18" s="4"/>
      <c r="K18" s="8"/>
      <c r="L18" s="8"/>
      <c r="M18" s="4"/>
      <c r="N18" s="4"/>
      <c r="U18" s="19">
        <f>SUM(U15:U17)</f>
        <v>0.50970291340889118</v>
      </c>
      <c r="AH18" s="19">
        <f>SUM(AH15:AH17)</f>
        <v>0.48816952598022612</v>
      </c>
      <c r="AT18"/>
      <c r="AU18"/>
      <c r="AV18"/>
      <c r="AW18"/>
      <c r="AX18"/>
      <c r="AY18"/>
      <c r="AZ18"/>
      <c r="BA18"/>
      <c r="BB18"/>
      <c r="BC18"/>
      <c r="BN18"/>
      <c r="BO18"/>
      <c r="BP18"/>
      <c r="BW18"/>
      <c r="BX18"/>
      <c r="BY18"/>
      <c r="BZ18"/>
      <c r="CA18"/>
      <c r="CB18"/>
    </row>
    <row r="19" spans="10:80" x14ac:dyDescent="0.4">
      <c r="J19" s="4"/>
      <c r="K19" s="8"/>
      <c r="L19" s="8"/>
      <c r="M19" s="4"/>
      <c r="N19" s="4"/>
      <c r="AT19"/>
      <c r="AU19"/>
      <c r="AV19"/>
      <c r="AW19"/>
      <c r="AX19"/>
      <c r="AY19"/>
      <c r="AZ19"/>
      <c r="BA19"/>
      <c r="BB19"/>
      <c r="BC19"/>
      <c r="BN19"/>
      <c r="BO19"/>
      <c r="BW19"/>
      <c r="BX19"/>
      <c r="BY19"/>
      <c r="BZ19"/>
      <c r="CA19"/>
      <c r="CB19"/>
    </row>
    <row r="20" spans="10:80" x14ac:dyDescent="0.4">
      <c r="J20" s="4"/>
      <c r="K20" s="8"/>
      <c r="L20" s="8"/>
      <c r="M20" s="4"/>
      <c r="N20" s="4"/>
      <c r="V20"/>
      <c r="AI20" s="30"/>
      <c r="AT20"/>
      <c r="AU20"/>
      <c r="AV20"/>
      <c r="AW20"/>
      <c r="BN20"/>
      <c r="BO20"/>
      <c r="BW20"/>
      <c r="BX20"/>
      <c r="BY20"/>
      <c r="BZ20"/>
      <c r="CA20"/>
      <c r="CB20"/>
    </row>
    <row r="21" spans="10:80" x14ac:dyDescent="0.4">
      <c r="J21" s="4"/>
      <c r="K21" s="4"/>
      <c r="L21" s="4"/>
      <c r="M21" s="4"/>
      <c r="N21" s="4"/>
      <c r="V21"/>
      <c r="AT21"/>
      <c r="AU21"/>
      <c r="AV21"/>
      <c r="AW21"/>
      <c r="BN21"/>
      <c r="BO21"/>
      <c r="BW21"/>
      <c r="BX21"/>
      <c r="BY21"/>
      <c r="BZ21"/>
      <c r="CA21"/>
      <c r="CB21"/>
    </row>
    <row r="22" spans="10:80" x14ac:dyDescent="0.4">
      <c r="J22" s="4"/>
      <c r="K22" s="4"/>
      <c r="L22" s="4"/>
      <c r="M22" s="4"/>
      <c r="N22" s="4"/>
      <c r="V22"/>
      <c r="AT22"/>
      <c r="AU22"/>
      <c r="AV22"/>
      <c r="AW22"/>
      <c r="BN22"/>
      <c r="BO22"/>
      <c r="BW22"/>
      <c r="BX22"/>
      <c r="BY22"/>
      <c r="BZ22"/>
      <c r="CA22"/>
      <c r="CB22"/>
    </row>
    <row r="23" spans="10:80" x14ac:dyDescent="0.4">
      <c r="J23" s="4"/>
      <c r="K23" s="4"/>
      <c r="L23" s="4"/>
      <c r="M23" s="4"/>
      <c r="N23" s="4"/>
      <c r="V23"/>
      <c r="AT23"/>
      <c r="AU23"/>
      <c r="AV23"/>
      <c r="AW23"/>
      <c r="BN23"/>
      <c r="BO23"/>
      <c r="BW23"/>
      <c r="BX23"/>
      <c r="BY23"/>
      <c r="BZ23"/>
      <c r="CA23"/>
      <c r="CB23"/>
    </row>
    <row r="24" spans="10:80" x14ac:dyDescent="0.4">
      <c r="J24" s="4"/>
      <c r="K24" s="4"/>
      <c r="L24" s="4"/>
      <c r="M24" s="4"/>
      <c r="N24" s="4"/>
      <c r="V24"/>
      <c r="AT24"/>
      <c r="AU24"/>
      <c r="AV24"/>
      <c r="AW24"/>
      <c r="BN24"/>
      <c r="BO24"/>
      <c r="BW24"/>
      <c r="BX24"/>
      <c r="BY24"/>
      <c r="BZ24"/>
      <c r="CA24"/>
      <c r="CB24"/>
    </row>
    <row r="25" spans="10:80" x14ac:dyDescent="0.4">
      <c r="J25" s="4"/>
      <c r="K25" s="4"/>
      <c r="L25" s="4"/>
      <c r="M25" s="4"/>
      <c r="N25" s="4"/>
      <c r="V25"/>
      <c r="AT25"/>
      <c r="AU25"/>
      <c r="AV25"/>
      <c r="AW25"/>
      <c r="BN25" s="3" t="s">
        <v>585</v>
      </c>
      <c r="BO25" s="3">
        <f>GETPIVOTDATA("Revenue ",$BN$3)/GETPIVOTDATA("Revenue",$BD$3)</f>
        <v>0.46061377616547622</v>
      </c>
      <c r="BW25"/>
      <c r="BX25"/>
      <c r="BY25"/>
      <c r="BZ25"/>
      <c r="CA25"/>
      <c r="CB25"/>
    </row>
    <row r="26" spans="10:80" x14ac:dyDescent="0.4">
      <c r="J26" s="4"/>
      <c r="K26" s="4"/>
      <c r="L26" s="4"/>
      <c r="M26" s="4"/>
      <c r="N26" s="4"/>
      <c r="V26"/>
      <c r="AT26"/>
      <c r="AU26"/>
      <c r="AV26"/>
      <c r="AW26"/>
      <c r="BN26"/>
      <c r="BO26"/>
      <c r="BW26"/>
      <c r="BX26"/>
      <c r="BY26"/>
      <c r="BZ26"/>
      <c r="CA26"/>
      <c r="CB26"/>
    </row>
    <row r="27" spans="10:80" x14ac:dyDescent="0.4">
      <c r="J27" s="4"/>
      <c r="K27" s="4"/>
      <c r="L27" s="4"/>
      <c r="M27" s="4"/>
      <c r="N27" s="4"/>
      <c r="V27"/>
      <c r="AT27"/>
      <c r="AU27"/>
      <c r="AV27"/>
      <c r="AW27"/>
      <c r="BN27"/>
      <c r="BO27"/>
      <c r="BW27"/>
      <c r="BX27"/>
      <c r="BY27"/>
      <c r="BZ27"/>
      <c r="CA27"/>
      <c r="CB27"/>
    </row>
    <row r="28" spans="10:80" x14ac:dyDescent="0.4">
      <c r="J28" s="4"/>
      <c r="K28" s="4"/>
      <c r="L28" s="4"/>
      <c r="M28" s="4"/>
      <c r="N28" s="4"/>
      <c r="V28"/>
      <c r="AT28"/>
      <c r="AU28"/>
      <c r="AV28"/>
      <c r="AW28"/>
      <c r="BN28"/>
      <c r="BO28"/>
      <c r="BW28"/>
      <c r="BX28"/>
      <c r="BY28"/>
      <c r="BZ28"/>
      <c r="CA28"/>
      <c r="CB28"/>
    </row>
    <row r="29" spans="10:80" x14ac:dyDescent="0.4">
      <c r="J29" s="4"/>
      <c r="K29" s="4"/>
      <c r="L29" s="4"/>
      <c r="M29" s="4"/>
      <c r="N29" s="4"/>
      <c r="V29"/>
      <c r="AT29"/>
      <c r="AU29"/>
      <c r="AV29"/>
      <c r="BN29"/>
      <c r="BO29"/>
      <c r="BW29"/>
      <c r="BX29"/>
      <c r="BY29"/>
      <c r="BZ29"/>
      <c r="CA29"/>
      <c r="CB29"/>
    </row>
    <row r="30" spans="10:80" x14ac:dyDescent="0.4">
      <c r="J30" s="4"/>
      <c r="K30" s="4"/>
      <c r="L30" s="4"/>
      <c r="M30" s="4"/>
      <c r="N30" s="4"/>
      <c r="V30"/>
      <c r="AT30"/>
      <c r="AU30"/>
      <c r="AV30"/>
      <c r="BW30"/>
      <c r="BX30"/>
      <c r="BY30"/>
      <c r="BZ30"/>
      <c r="CA30"/>
      <c r="CB30"/>
    </row>
    <row r="31" spans="10:80" x14ac:dyDescent="0.4">
      <c r="J31" s="4"/>
      <c r="K31" s="4"/>
      <c r="L31" s="4"/>
      <c r="M31" s="4"/>
      <c r="N31" s="4"/>
      <c r="AT31"/>
      <c r="AU31"/>
      <c r="AV31"/>
      <c r="BW31"/>
      <c r="BX31"/>
      <c r="BY31"/>
      <c r="BZ31"/>
      <c r="CA31"/>
      <c r="CB31"/>
    </row>
    <row r="32" spans="10:80" x14ac:dyDescent="0.4">
      <c r="J32" s="4"/>
      <c r="K32" s="4"/>
      <c r="L32" s="4"/>
      <c r="M32" s="4"/>
      <c r="N32" s="4"/>
      <c r="AT32"/>
      <c r="AU32"/>
      <c r="AV32"/>
      <c r="BW32"/>
      <c r="BX32"/>
      <c r="BY32"/>
      <c r="BZ32"/>
      <c r="CA32"/>
      <c r="CB32"/>
    </row>
    <row r="33" spans="10:80" x14ac:dyDescent="0.4">
      <c r="J33" s="4"/>
      <c r="K33" s="4"/>
      <c r="L33" s="4"/>
      <c r="M33" s="4"/>
      <c r="N33" s="4"/>
      <c r="AT33"/>
      <c r="AU33"/>
      <c r="AV33"/>
      <c r="BW33"/>
      <c r="BX33"/>
      <c r="BY33"/>
      <c r="BZ33"/>
      <c r="CA33"/>
      <c r="CB33"/>
    </row>
    <row r="34" spans="10:80" x14ac:dyDescent="0.4">
      <c r="J34" s="4"/>
      <c r="K34" s="4"/>
      <c r="L34" s="4"/>
      <c r="M34" s="4"/>
      <c r="N34" s="4"/>
      <c r="AT34"/>
      <c r="AU34"/>
      <c r="AV34"/>
      <c r="BW34"/>
      <c r="BX34"/>
      <c r="BY34"/>
      <c r="BZ34"/>
      <c r="CA34"/>
      <c r="CB34"/>
    </row>
    <row r="35" spans="10:80" x14ac:dyDescent="0.4">
      <c r="J35" s="4"/>
      <c r="K35" s="4"/>
      <c r="L35" s="4"/>
      <c r="M35" s="4"/>
      <c r="N35" s="4"/>
      <c r="AT35"/>
      <c r="AU35"/>
      <c r="AV35"/>
      <c r="BW35"/>
      <c r="BX35"/>
      <c r="BY35"/>
      <c r="BZ35"/>
      <c r="CA35"/>
      <c r="CB35"/>
    </row>
    <row r="36" spans="10:80" x14ac:dyDescent="0.4">
      <c r="J36" s="4"/>
      <c r="K36" s="4"/>
      <c r="L36" s="4"/>
      <c r="M36" s="4"/>
      <c r="N36" s="4"/>
      <c r="AT36"/>
      <c r="AU36"/>
      <c r="AV36"/>
      <c r="BW36"/>
      <c r="BX36"/>
      <c r="BY36"/>
      <c r="BZ36"/>
      <c r="CA36"/>
      <c r="CB36"/>
    </row>
    <row r="37" spans="10:80" x14ac:dyDescent="0.4">
      <c r="J37" s="4"/>
      <c r="K37" s="4"/>
      <c r="L37" s="4"/>
      <c r="M37" s="4"/>
      <c r="N37" s="4"/>
      <c r="AT37"/>
      <c r="AU37"/>
      <c r="AV37"/>
      <c r="BW37"/>
      <c r="BX37"/>
      <c r="BY37"/>
      <c r="BZ37"/>
      <c r="CA37"/>
      <c r="CB37"/>
    </row>
    <row r="38" spans="10:80" x14ac:dyDescent="0.4">
      <c r="J38" s="4"/>
      <c r="K38" s="4"/>
      <c r="L38" s="4"/>
      <c r="M38" s="4"/>
      <c r="N38" s="4"/>
      <c r="BW38"/>
      <c r="BX38"/>
      <c r="BY38"/>
      <c r="BZ38"/>
      <c r="CA38"/>
      <c r="CB38"/>
    </row>
    <row r="39" spans="10:80" x14ac:dyDescent="0.4">
      <c r="J39" s="4"/>
      <c r="K39" s="4"/>
      <c r="L39" s="4"/>
      <c r="M39" s="4"/>
      <c r="N39" s="4"/>
      <c r="BW39"/>
      <c r="BX39"/>
      <c r="BY39"/>
      <c r="BZ39"/>
      <c r="CA39"/>
      <c r="CB39"/>
    </row>
    <row r="40" spans="10:80" x14ac:dyDescent="0.4">
      <c r="J40" s="4"/>
      <c r="K40" s="4"/>
      <c r="L40" s="4"/>
      <c r="M40" s="4"/>
      <c r="N40" s="4"/>
      <c r="BW40"/>
      <c r="BX40"/>
      <c r="BY40"/>
      <c r="BZ40"/>
      <c r="CA40"/>
      <c r="CB40"/>
    </row>
    <row r="41" spans="10:80" x14ac:dyDescent="0.4">
      <c r="J41" s="4"/>
      <c r="K41" s="4"/>
      <c r="L41" s="4"/>
      <c r="M41" s="4"/>
      <c r="N41" s="4"/>
      <c r="BW41"/>
      <c r="BX41"/>
      <c r="BY41"/>
      <c r="BZ41"/>
      <c r="CA41"/>
      <c r="CB41"/>
    </row>
    <row r="42" spans="10:80" x14ac:dyDescent="0.4">
      <c r="J42" s="4"/>
      <c r="K42" s="4"/>
      <c r="L42" s="4"/>
      <c r="M42" s="4"/>
      <c r="N42" s="4"/>
      <c r="BW42"/>
      <c r="BX42"/>
      <c r="BY42"/>
      <c r="BZ42"/>
      <c r="CA42"/>
      <c r="CB42"/>
    </row>
    <row r="43" spans="10:80" x14ac:dyDescent="0.4">
      <c r="J43" s="4"/>
      <c r="K43" s="4"/>
      <c r="L43" s="4"/>
      <c r="M43" s="4"/>
      <c r="N43" s="4"/>
      <c r="BW43"/>
      <c r="BX43"/>
      <c r="BY43"/>
      <c r="BZ43"/>
      <c r="CA43"/>
      <c r="CB43"/>
    </row>
    <row r="44" spans="10:80" x14ac:dyDescent="0.4">
      <c r="J44" s="4"/>
      <c r="K44" s="4"/>
      <c r="L44" s="4"/>
      <c r="M44" s="4"/>
      <c r="N44" s="4"/>
      <c r="BW44"/>
      <c r="BX44"/>
      <c r="BY44"/>
      <c r="BZ44"/>
      <c r="CA44"/>
      <c r="CB44"/>
    </row>
    <row r="45" spans="10:80" x14ac:dyDescent="0.4">
      <c r="J45" s="4"/>
      <c r="K45" s="4"/>
      <c r="L45" s="4"/>
      <c r="M45" s="4"/>
      <c r="N45" s="4"/>
      <c r="BW45"/>
      <c r="BX45"/>
      <c r="BY45"/>
      <c r="BZ45"/>
      <c r="CA45"/>
      <c r="CB45"/>
    </row>
    <row r="46" spans="10:80" x14ac:dyDescent="0.4">
      <c r="J46" s="4"/>
      <c r="K46" s="4"/>
      <c r="L46" s="4"/>
      <c r="M46" s="4"/>
      <c r="N46" s="4"/>
      <c r="BW46"/>
      <c r="BX46"/>
      <c r="BY46"/>
      <c r="BZ46"/>
      <c r="CA46"/>
      <c r="CB46"/>
    </row>
    <row r="47" spans="10:80" x14ac:dyDescent="0.4">
      <c r="J47" s="4"/>
      <c r="K47" s="4"/>
      <c r="L47" s="4"/>
      <c r="M47" s="4"/>
      <c r="N47" s="4"/>
      <c r="BW47"/>
      <c r="BX47"/>
      <c r="BY47"/>
      <c r="BZ47"/>
      <c r="CA47"/>
      <c r="CB47"/>
    </row>
    <row r="48" spans="10:80" x14ac:dyDescent="0.4">
      <c r="J48" s="4"/>
      <c r="K48" s="4"/>
      <c r="L48" s="4"/>
      <c r="M48" s="4"/>
      <c r="N48" s="4"/>
      <c r="BW48"/>
      <c r="BX48"/>
      <c r="BY48"/>
      <c r="BZ48"/>
      <c r="CA48"/>
      <c r="CB48"/>
    </row>
    <row r="49" spans="10:80" x14ac:dyDescent="0.4">
      <c r="J49" s="4"/>
      <c r="K49" s="4"/>
      <c r="L49" s="4"/>
      <c r="M49" s="4"/>
      <c r="N49" s="4"/>
      <c r="BW49"/>
      <c r="BX49"/>
      <c r="BY49"/>
      <c r="BZ49"/>
      <c r="CA49"/>
      <c r="CB49"/>
    </row>
    <row r="50" spans="10:80" x14ac:dyDescent="0.4">
      <c r="J50" s="4"/>
      <c r="K50" s="4"/>
      <c r="L50" s="4"/>
      <c r="M50" s="4"/>
      <c r="N50" s="4"/>
      <c r="BW50"/>
      <c r="BX50"/>
      <c r="BY50"/>
      <c r="BZ50"/>
      <c r="CA50"/>
      <c r="CB50"/>
    </row>
    <row r="51" spans="10:80" x14ac:dyDescent="0.4">
      <c r="J51" s="4"/>
      <c r="K51" s="4"/>
      <c r="L51" s="4"/>
      <c r="M51" s="4"/>
      <c r="N51" s="4"/>
      <c r="BW51"/>
      <c r="BX51"/>
      <c r="BY51"/>
      <c r="BZ51"/>
      <c r="CA51"/>
      <c r="CB51"/>
    </row>
    <row r="52" spans="10:80" x14ac:dyDescent="0.4">
      <c r="J52" s="4"/>
      <c r="K52" s="4"/>
      <c r="L52" s="4"/>
      <c r="M52" s="4"/>
      <c r="N52" s="4"/>
      <c r="BW52"/>
      <c r="BX52"/>
      <c r="BY52"/>
      <c r="BZ52"/>
      <c r="CA52"/>
      <c r="CB52"/>
    </row>
    <row r="53" spans="10:80" x14ac:dyDescent="0.4">
      <c r="J53" s="4"/>
      <c r="K53" s="4"/>
      <c r="L53" s="4"/>
      <c r="M53" s="4"/>
      <c r="N53" s="4"/>
      <c r="BW53"/>
      <c r="BX53"/>
      <c r="BY53"/>
      <c r="BZ53"/>
      <c r="CA53"/>
      <c r="CB53"/>
    </row>
    <row r="54" spans="10:80" x14ac:dyDescent="0.4">
      <c r="J54" s="4"/>
      <c r="K54" s="4"/>
      <c r="L54" s="4"/>
      <c r="M54" s="4"/>
      <c r="N54" s="4"/>
      <c r="BW54"/>
      <c r="BX54"/>
      <c r="BY54"/>
      <c r="BZ54"/>
      <c r="CA54"/>
      <c r="CB54"/>
    </row>
    <row r="55" spans="10:80" x14ac:dyDescent="0.4">
      <c r="J55" s="4"/>
      <c r="K55" s="4"/>
      <c r="L55" s="4"/>
      <c r="M55" s="4"/>
      <c r="N55" s="4"/>
      <c r="BW55"/>
      <c r="BX55"/>
      <c r="BY55"/>
      <c r="BZ55"/>
      <c r="CA55"/>
      <c r="CB55"/>
    </row>
    <row r="56" spans="10:80" x14ac:dyDescent="0.4">
      <c r="J56" s="4"/>
      <c r="K56" s="4"/>
      <c r="L56" s="4"/>
      <c r="M56" s="4"/>
      <c r="N56" s="4"/>
      <c r="BW56"/>
      <c r="BX56"/>
      <c r="BY56"/>
      <c r="BZ56"/>
      <c r="CA56"/>
      <c r="CB56"/>
    </row>
    <row r="57" spans="10:80" x14ac:dyDescent="0.4">
      <c r="J57" s="4"/>
      <c r="K57" s="4"/>
      <c r="L57" s="4"/>
      <c r="M57" s="4"/>
      <c r="N57" s="4"/>
      <c r="BW57"/>
      <c r="BX57"/>
      <c r="BY57"/>
      <c r="BZ57"/>
      <c r="CA57"/>
      <c r="CB57"/>
    </row>
    <row r="58" spans="10:80" x14ac:dyDescent="0.4">
      <c r="J58" s="4"/>
      <c r="K58" s="4"/>
      <c r="L58" s="4"/>
      <c r="M58" s="4"/>
      <c r="N58" s="4"/>
      <c r="BW58"/>
      <c r="BX58"/>
      <c r="BY58"/>
      <c r="BZ58"/>
      <c r="CA58"/>
      <c r="CB58"/>
    </row>
    <row r="59" spans="10:80" x14ac:dyDescent="0.4">
      <c r="J59" s="4"/>
      <c r="K59" s="4"/>
      <c r="L59" s="4"/>
      <c r="M59" s="4"/>
      <c r="N59" s="4"/>
      <c r="BW59"/>
      <c r="BX59"/>
      <c r="BY59"/>
      <c r="BZ59"/>
      <c r="CA59"/>
      <c r="CB59"/>
    </row>
    <row r="60" spans="10:80" x14ac:dyDescent="0.4">
      <c r="J60" s="4"/>
      <c r="K60" s="4"/>
      <c r="L60" s="4"/>
      <c r="M60" s="4"/>
      <c r="N60" s="4"/>
      <c r="BW60"/>
      <c r="BX60"/>
      <c r="BY60"/>
      <c r="BZ60"/>
      <c r="CA60"/>
      <c r="CB60"/>
    </row>
    <row r="61" spans="10:80" x14ac:dyDescent="0.4">
      <c r="J61" s="4"/>
      <c r="K61" s="4"/>
      <c r="L61" s="4"/>
      <c r="M61" s="4"/>
      <c r="N61" s="4"/>
      <c r="BW61"/>
      <c r="BX61"/>
      <c r="BY61"/>
      <c r="BZ61"/>
      <c r="CA61"/>
      <c r="CB61"/>
    </row>
    <row r="62" spans="10:80" x14ac:dyDescent="0.4">
      <c r="J62" s="4"/>
      <c r="K62" s="4"/>
      <c r="L62" s="4"/>
      <c r="M62" s="4"/>
      <c r="N62" s="4"/>
      <c r="BW62"/>
      <c r="BX62"/>
      <c r="BY62"/>
      <c r="BZ62"/>
      <c r="CA62"/>
      <c r="CB62"/>
    </row>
    <row r="63" spans="10:80" x14ac:dyDescent="0.4">
      <c r="J63" s="4"/>
      <c r="K63" s="4"/>
      <c r="L63" s="4"/>
      <c r="M63" s="4"/>
      <c r="N63" s="4"/>
      <c r="BW63"/>
      <c r="BX63"/>
      <c r="BY63"/>
      <c r="BZ63"/>
      <c r="CA63"/>
      <c r="CB63"/>
    </row>
    <row r="64" spans="10:80" x14ac:dyDescent="0.4">
      <c r="J64" s="4"/>
      <c r="K64" s="4"/>
      <c r="L64" s="4"/>
      <c r="M64" s="4"/>
      <c r="N64" s="4"/>
      <c r="BW64"/>
      <c r="BX64"/>
      <c r="BY64"/>
      <c r="BZ64"/>
      <c r="CA64"/>
      <c r="CB64"/>
    </row>
    <row r="65" spans="10:80" x14ac:dyDescent="0.4">
      <c r="J65" s="4"/>
      <c r="K65" s="4"/>
      <c r="L65" s="4"/>
      <c r="M65" s="4"/>
      <c r="N65" s="4"/>
      <c r="BW65"/>
      <c r="BX65"/>
      <c r="BY65"/>
      <c r="BZ65"/>
      <c r="CA65"/>
      <c r="CB65"/>
    </row>
    <row r="66" spans="10:80" x14ac:dyDescent="0.4">
      <c r="J66" s="4"/>
      <c r="K66" s="4"/>
      <c r="L66" s="4"/>
      <c r="M66" s="4"/>
      <c r="N66" s="4"/>
      <c r="BW66"/>
      <c r="BX66"/>
      <c r="BY66"/>
      <c r="BZ66"/>
      <c r="CA66"/>
      <c r="CB66"/>
    </row>
    <row r="67" spans="10:80" x14ac:dyDescent="0.4">
      <c r="J67" s="4"/>
      <c r="K67" s="4"/>
      <c r="L67" s="4"/>
      <c r="M67" s="4"/>
      <c r="N67" s="4"/>
      <c r="BW67"/>
      <c r="BX67"/>
      <c r="BY67"/>
      <c r="BZ67"/>
      <c r="CA67"/>
      <c r="CB67"/>
    </row>
    <row r="68" spans="10:80" x14ac:dyDescent="0.4">
      <c r="J68" s="4"/>
      <c r="K68" s="4"/>
      <c r="L68" s="4"/>
      <c r="M68" s="4"/>
      <c r="N68" s="4"/>
      <c r="BW68"/>
      <c r="BX68"/>
      <c r="BY68"/>
      <c r="BZ68"/>
      <c r="CA68"/>
      <c r="CB68"/>
    </row>
    <row r="69" spans="10:80" x14ac:dyDescent="0.4">
      <c r="J69" s="4"/>
      <c r="K69" s="4"/>
      <c r="L69" s="4"/>
      <c r="M69" s="4"/>
      <c r="N69" s="4"/>
      <c r="BW69"/>
      <c r="BX69"/>
      <c r="BY69"/>
      <c r="BZ69"/>
      <c r="CA69"/>
      <c r="CB69"/>
    </row>
    <row r="70" spans="10:80" x14ac:dyDescent="0.4">
      <c r="J70" s="4"/>
      <c r="K70" s="4"/>
      <c r="L70" s="4"/>
      <c r="M70" s="4"/>
      <c r="N70" s="4"/>
      <c r="BW70"/>
      <c r="BX70"/>
      <c r="BY70"/>
      <c r="BZ70"/>
      <c r="CA70"/>
      <c r="CB70"/>
    </row>
    <row r="71" spans="10:80" x14ac:dyDescent="0.4">
      <c r="J71" s="4"/>
      <c r="K71" s="4"/>
      <c r="L71" s="4"/>
      <c r="M71" s="4"/>
      <c r="N71" s="4"/>
      <c r="BW71"/>
      <c r="BX71"/>
      <c r="BY71"/>
      <c r="BZ71"/>
      <c r="CA71"/>
      <c r="CB71"/>
    </row>
    <row r="72" spans="10:80" x14ac:dyDescent="0.4">
      <c r="J72" s="4"/>
      <c r="K72" s="4"/>
      <c r="L72" s="4"/>
      <c r="M72" s="4"/>
      <c r="N72" s="4"/>
      <c r="BW72"/>
      <c r="BX72"/>
      <c r="BY72"/>
      <c r="BZ72"/>
      <c r="CA72"/>
      <c r="CB72"/>
    </row>
    <row r="73" spans="10:80" x14ac:dyDescent="0.4">
      <c r="J73" s="4"/>
      <c r="K73" s="4"/>
      <c r="L73" s="4"/>
      <c r="M73" s="4"/>
      <c r="N73" s="4"/>
      <c r="BW73"/>
      <c r="BX73"/>
      <c r="BY73"/>
      <c r="BZ73"/>
      <c r="CA73"/>
      <c r="CB73"/>
    </row>
    <row r="74" spans="10:80" x14ac:dyDescent="0.4">
      <c r="J74" s="4"/>
      <c r="K74" s="4"/>
      <c r="L74" s="4"/>
      <c r="M74" s="4"/>
      <c r="N74" s="4"/>
      <c r="BW74"/>
      <c r="BX74"/>
      <c r="BY74"/>
      <c r="BZ74"/>
      <c r="CA74"/>
      <c r="CB74"/>
    </row>
    <row r="75" spans="10:80" x14ac:dyDescent="0.4">
      <c r="J75" s="4"/>
      <c r="K75" s="4"/>
      <c r="L75" s="4"/>
      <c r="M75" s="4"/>
      <c r="N75" s="4"/>
      <c r="BW75"/>
      <c r="BX75"/>
      <c r="BY75"/>
      <c r="BZ75"/>
      <c r="CA75"/>
      <c r="CB75"/>
    </row>
    <row r="76" spans="10:80" x14ac:dyDescent="0.4">
      <c r="J76" s="4"/>
      <c r="K76" s="4"/>
      <c r="L76" s="4"/>
      <c r="M76" s="4"/>
      <c r="N76" s="4"/>
      <c r="BW76"/>
      <c r="BX76"/>
      <c r="BY76"/>
      <c r="BZ76"/>
      <c r="CA76"/>
      <c r="CB76"/>
    </row>
    <row r="77" spans="10:80" x14ac:dyDescent="0.4">
      <c r="J77" s="4"/>
      <c r="K77" s="4"/>
      <c r="L77" s="4"/>
      <c r="M77" s="4"/>
      <c r="N77" s="4"/>
      <c r="BW77"/>
      <c r="BX77"/>
      <c r="BY77"/>
      <c r="BZ77"/>
      <c r="CA77"/>
      <c r="CB77"/>
    </row>
    <row r="78" spans="10:80" x14ac:dyDescent="0.4">
      <c r="J78" s="4"/>
      <c r="K78" s="4"/>
      <c r="L78" s="4"/>
      <c r="M78" s="4"/>
      <c r="N78" s="4"/>
      <c r="BW78"/>
      <c r="BX78"/>
      <c r="BY78"/>
      <c r="BZ78"/>
      <c r="CA78"/>
      <c r="CB78"/>
    </row>
    <row r="79" spans="10:80" x14ac:dyDescent="0.4">
      <c r="J79" s="4"/>
      <c r="K79" s="4"/>
      <c r="L79" s="4"/>
      <c r="M79" s="4"/>
      <c r="N79" s="4"/>
      <c r="BW79"/>
      <c r="BX79"/>
      <c r="BY79"/>
      <c r="BZ79"/>
      <c r="CA79"/>
      <c r="CB79"/>
    </row>
    <row r="80" spans="10:80" x14ac:dyDescent="0.4">
      <c r="J80" s="4"/>
      <c r="K80" s="4"/>
      <c r="L80" s="4"/>
      <c r="M80" s="4"/>
      <c r="N80" s="4"/>
      <c r="BW80"/>
      <c r="BX80"/>
      <c r="BY80"/>
      <c r="BZ80"/>
      <c r="CA80"/>
      <c r="CB80"/>
    </row>
    <row r="81" spans="10:80" x14ac:dyDescent="0.4">
      <c r="J81" s="4"/>
      <c r="K81" s="4"/>
      <c r="L81" s="4"/>
      <c r="M81" s="4"/>
      <c r="N81" s="4"/>
      <c r="BW81"/>
      <c r="BX81"/>
      <c r="BY81"/>
      <c r="BZ81"/>
      <c r="CA81"/>
      <c r="CB81"/>
    </row>
    <row r="82" spans="10:80" x14ac:dyDescent="0.4">
      <c r="J82" s="4"/>
      <c r="K82" s="4"/>
      <c r="L82" s="4"/>
      <c r="M82" s="4"/>
      <c r="N82" s="4"/>
      <c r="BW82"/>
      <c r="BX82"/>
      <c r="BY82"/>
      <c r="BZ82"/>
      <c r="CA82"/>
      <c r="CB82"/>
    </row>
    <row r="83" spans="10:80" x14ac:dyDescent="0.4">
      <c r="J83" s="4"/>
      <c r="K83" s="4"/>
      <c r="L83" s="4"/>
      <c r="M83" s="4"/>
      <c r="N83" s="4"/>
      <c r="BW83"/>
      <c r="BX83"/>
      <c r="BY83"/>
      <c r="BZ83"/>
      <c r="CA83"/>
      <c r="CB83"/>
    </row>
    <row r="84" spans="10:80" x14ac:dyDescent="0.4">
      <c r="J84" s="4"/>
      <c r="K84" s="4"/>
      <c r="L84" s="4"/>
      <c r="M84" s="4"/>
      <c r="N84" s="4"/>
      <c r="BW84"/>
      <c r="BX84"/>
      <c r="BY84"/>
      <c r="BZ84"/>
      <c r="CA84"/>
      <c r="CB84"/>
    </row>
    <row r="85" spans="10:80" x14ac:dyDescent="0.4">
      <c r="J85" s="4"/>
      <c r="K85" s="4"/>
      <c r="L85" s="4"/>
      <c r="M85" s="4"/>
      <c r="N85" s="4"/>
      <c r="BW85"/>
      <c r="BX85"/>
      <c r="BY85"/>
      <c r="BZ85"/>
      <c r="CA85"/>
      <c r="CB85"/>
    </row>
    <row r="86" spans="10:80" x14ac:dyDescent="0.4">
      <c r="J86" s="4"/>
      <c r="K86" s="4"/>
      <c r="L86" s="4"/>
      <c r="M86" s="4"/>
      <c r="N86" s="4"/>
      <c r="BW86"/>
      <c r="BX86"/>
      <c r="BY86"/>
      <c r="BZ86"/>
      <c r="CA86"/>
      <c r="CB86"/>
    </row>
    <row r="87" spans="10:80" x14ac:dyDescent="0.4">
      <c r="J87" s="4"/>
      <c r="K87" s="4"/>
      <c r="L87" s="4"/>
      <c r="M87" s="4"/>
      <c r="N87" s="4"/>
      <c r="BW87"/>
      <c r="BX87"/>
      <c r="BY87"/>
      <c r="BZ87"/>
      <c r="CA87"/>
      <c r="CB87"/>
    </row>
    <row r="88" spans="10:80" x14ac:dyDescent="0.4">
      <c r="J88" s="4"/>
      <c r="K88" s="4"/>
      <c r="L88" s="4"/>
      <c r="M88" s="4"/>
      <c r="N88" s="4"/>
      <c r="BW88"/>
      <c r="BX88"/>
      <c r="BY88"/>
      <c r="BZ88"/>
      <c r="CA88"/>
      <c r="CB88"/>
    </row>
    <row r="89" spans="10:80" x14ac:dyDescent="0.4">
      <c r="J89" s="4"/>
      <c r="K89" s="4"/>
      <c r="L89" s="4"/>
      <c r="M89" s="4"/>
      <c r="N89" s="4"/>
      <c r="BW89"/>
      <c r="BX89"/>
      <c r="BY89"/>
      <c r="BZ89"/>
      <c r="CA89"/>
      <c r="CB89"/>
    </row>
    <row r="90" spans="10:80" x14ac:dyDescent="0.4">
      <c r="J90" s="4"/>
      <c r="K90" s="4"/>
      <c r="L90" s="4"/>
      <c r="M90" s="4"/>
      <c r="N90" s="4"/>
      <c r="BW90"/>
      <c r="BX90"/>
      <c r="BY90"/>
      <c r="BZ90"/>
      <c r="CA90"/>
      <c r="CB90"/>
    </row>
    <row r="91" spans="10:80" x14ac:dyDescent="0.4">
      <c r="J91" s="4"/>
      <c r="K91" s="4"/>
      <c r="L91" s="4"/>
      <c r="M91" s="4"/>
      <c r="N91" s="4"/>
      <c r="BW91"/>
      <c r="BX91"/>
      <c r="BY91"/>
      <c r="BZ91"/>
      <c r="CA91"/>
      <c r="CB91"/>
    </row>
    <row r="92" spans="10:80" x14ac:dyDescent="0.4">
      <c r="J92" s="4"/>
      <c r="K92" s="4"/>
      <c r="L92" s="4"/>
      <c r="M92" s="4"/>
      <c r="N92" s="4"/>
      <c r="BW92"/>
      <c r="BX92"/>
      <c r="BY92"/>
      <c r="BZ92"/>
      <c r="CA92"/>
      <c r="CB92"/>
    </row>
    <row r="93" spans="10:80" x14ac:dyDescent="0.4">
      <c r="J93" s="4"/>
      <c r="K93" s="4"/>
      <c r="L93" s="4"/>
      <c r="M93" s="4"/>
      <c r="N93" s="4"/>
      <c r="BW93"/>
      <c r="BX93"/>
      <c r="BY93"/>
      <c r="BZ93"/>
      <c r="CA93"/>
      <c r="CB93"/>
    </row>
    <row r="94" spans="10:80" x14ac:dyDescent="0.4">
      <c r="J94" s="4"/>
      <c r="K94" s="4"/>
      <c r="L94" s="4"/>
      <c r="M94" s="4"/>
      <c r="N94" s="4"/>
      <c r="BW94"/>
      <c r="BX94"/>
      <c r="BY94"/>
      <c r="BZ94"/>
      <c r="CA94"/>
      <c r="CB94"/>
    </row>
    <row r="95" spans="10:80" x14ac:dyDescent="0.4">
      <c r="J95" s="4"/>
      <c r="K95" s="4"/>
      <c r="L95" s="4"/>
      <c r="M95" s="4"/>
      <c r="N95" s="4"/>
      <c r="BW95"/>
      <c r="BX95"/>
      <c r="BY95"/>
      <c r="BZ95"/>
      <c r="CA95"/>
      <c r="CB95"/>
    </row>
    <row r="96" spans="10:80" x14ac:dyDescent="0.4">
      <c r="J96" s="4"/>
      <c r="K96" s="4"/>
      <c r="L96" s="4"/>
      <c r="M96" s="4"/>
      <c r="N96" s="4"/>
      <c r="BW96"/>
      <c r="BX96"/>
      <c r="BY96"/>
      <c r="BZ96"/>
      <c r="CA96"/>
      <c r="CB96"/>
    </row>
    <row r="97" spans="10:80" x14ac:dyDescent="0.4">
      <c r="J97" s="4"/>
      <c r="K97" s="4"/>
      <c r="L97" s="4"/>
      <c r="M97" s="4"/>
      <c r="N97" s="4"/>
      <c r="BW97"/>
      <c r="BX97"/>
      <c r="BY97"/>
      <c r="BZ97"/>
      <c r="CA97"/>
      <c r="CB97"/>
    </row>
    <row r="98" spans="10:80" x14ac:dyDescent="0.4">
      <c r="J98" s="4"/>
      <c r="K98" s="4"/>
      <c r="L98" s="4"/>
      <c r="M98" s="4"/>
      <c r="N98" s="4"/>
      <c r="BW98"/>
      <c r="BX98"/>
      <c r="BY98"/>
      <c r="BZ98"/>
      <c r="CA98"/>
      <c r="CB98"/>
    </row>
    <row r="99" spans="10:80" x14ac:dyDescent="0.4">
      <c r="J99" s="4"/>
      <c r="K99" s="4"/>
      <c r="L99" s="4"/>
      <c r="M99" s="4"/>
      <c r="N99" s="4"/>
      <c r="BW99"/>
      <c r="BX99"/>
      <c r="BY99"/>
      <c r="BZ99"/>
      <c r="CA99"/>
      <c r="CB99"/>
    </row>
    <row r="100" spans="10:80" x14ac:dyDescent="0.4">
      <c r="J100" s="4"/>
      <c r="K100" s="4"/>
      <c r="L100" s="4"/>
      <c r="M100" s="4"/>
      <c r="N100" s="4"/>
      <c r="BW100"/>
      <c r="BX100"/>
      <c r="BY100"/>
      <c r="BZ100"/>
      <c r="CA100"/>
      <c r="CB100"/>
    </row>
    <row r="101" spans="10:80" x14ac:dyDescent="0.4">
      <c r="J101" s="4"/>
      <c r="K101" s="4"/>
      <c r="L101" s="4"/>
      <c r="M101" s="4"/>
      <c r="N101" s="4"/>
      <c r="BW101"/>
      <c r="BX101"/>
      <c r="BY101"/>
      <c r="BZ101"/>
      <c r="CA101"/>
      <c r="CB101"/>
    </row>
    <row r="102" spans="10:80" x14ac:dyDescent="0.4">
      <c r="J102" s="4"/>
      <c r="K102" s="4"/>
      <c r="L102" s="4"/>
      <c r="M102" s="4"/>
      <c r="N102" s="4"/>
      <c r="BW102"/>
      <c r="BX102"/>
      <c r="BY102"/>
      <c r="BZ102"/>
      <c r="CA102"/>
      <c r="CB102"/>
    </row>
    <row r="103" spans="10:80" x14ac:dyDescent="0.4">
      <c r="J103" s="4"/>
      <c r="K103" s="4"/>
      <c r="L103" s="4"/>
      <c r="M103" s="4"/>
      <c r="N103" s="4"/>
      <c r="BW103"/>
      <c r="BX103"/>
      <c r="BY103"/>
      <c r="BZ103"/>
      <c r="CA103"/>
      <c r="CB103"/>
    </row>
    <row r="104" spans="10:80" x14ac:dyDescent="0.4">
      <c r="J104" s="4"/>
      <c r="K104" s="4"/>
      <c r="L104" s="4"/>
      <c r="M104" s="4"/>
      <c r="N104" s="4"/>
      <c r="BW104"/>
      <c r="BX104"/>
      <c r="BY104"/>
      <c r="BZ104"/>
      <c r="CA104"/>
      <c r="CB104"/>
    </row>
    <row r="105" spans="10:80" x14ac:dyDescent="0.4">
      <c r="J105" s="4"/>
      <c r="K105" s="4"/>
      <c r="L105" s="4"/>
      <c r="M105" s="4"/>
      <c r="N105" s="4"/>
      <c r="BW105"/>
      <c r="BX105"/>
      <c r="BY105"/>
      <c r="BZ105"/>
      <c r="CA105"/>
      <c r="CB105"/>
    </row>
    <row r="106" spans="10:80" x14ac:dyDescent="0.4">
      <c r="J106" s="4"/>
      <c r="K106" s="4"/>
      <c r="L106" s="4"/>
      <c r="M106" s="4"/>
      <c r="N106" s="4"/>
      <c r="BW106"/>
      <c r="BX106"/>
      <c r="BY106"/>
      <c r="BZ106"/>
      <c r="CA106"/>
      <c r="CB106"/>
    </row>
    <row r="107" spans="10:80" x14ac:dyDescent="0.4">
      <c r="J107" s="4"/>
      <c r="K107" s="4"/>
      <c r="L107" s="4"/>
      <c r="M107" s="4"/>
      <c r="N107" s="4"/>
      <c r="BW107"/>
      <c r="BX107"/>
      <c r="BY107"/>
      <c r="BZ107"/>
      <c r="CA107"/>
      <c r="CB107"/>
    </row>
    <row r="108" spans="10:80" x14ac:dyDescent="0.4">
      <c r="J108" s="4"/>
      <c r="K108" s="4"/>
      <c r="L108" s="4"/>
      <c r="M108" s="4"/>
      <c r="N108" s="4"/>
      <c r="BW108"/>
      <c r="BX108"/>
      <c r="BY108"/>
      <c r="BZ108"/>
      <c r="CA108"/>
      <c r="CB108"/>
    </row>
    <row r="109" spans="10:80" x14ac:dyDescent="0.4">
      <c r="J109" s="4"/>
      <c r="K109" s="4"/>
      <c r="L109" s="4"/>
      <c r="M109" s="4"/>
      <c r="N109" s="4"/>
      <c r="BW109"/>
      <c r="BX109"/>
      <c r="BY109"/>
      <c r="BZ109"/>
      <c r="CA109"/>
      <c r="CB109"/>
    </row>
    <row r="110" spans="10:80" x14ac:dyDescent="0.4">
      <c r="J110" s="4"/>
      <c r="K110" s="4"/>
      <c r="L110" s="4"/>
      <c r="M110" s="4"/>
      <c r="N110" s="4"/>
      <c r="BW110"/>
      <c r="BX110"/>
      <c r="BY110"/>
      <c r="BZ110"/>
      <c r="CA110"/>
      <c r="CB110"/>
    </row>
    <row r="111" spans="10:80" x14ac:dyDescent="0.4">
      <c r="J111" s="4"/>
      <c r="K111" s="4"/>
      <c r="L111" s="4"/>
      <c r="M111" s="4"/>
      <c r="N111" s="4"/>
      <c r="BW111"/>
      <c r="BX111"/>
      <c r="BY111"/>
      <c r="BZ111"/>
      <c r="CA111"/>
      <c r="CB111"/>
    </row>
    <row r="112" spans="10:80" x14ac:dyDescent="0.4">
      <c r="J112" s="4"/>
      <c r="K112" s="4"/>
      <c r="L112" s="4"/>
      <c r="M112" s="4"/>
      <c r="N112" s="4"/>
      <c r="BW112"/>
      <c r="BX112"/>
      <c r="BY112"/>
      <c r="BZ112"/>
      <c r="CA112"/>
      <c r="CB112"/>
    </row>
    <row r="113" spans="10:80" x14ac:dyDescent="0.4">
      <c r="J113" s="4"/>
      <c r="K113" s="4"/>
      <c r="L113" s="4"/>
      <c r="M113" s="4"/>
      <c r="N113" s="4"/>
      <c r="BW113"/>
      <c r="BX113"/>
      <c r="BY113"/>
      <c r="BZ113"/>
      <c r="CA113"/>
      <c r="CB113"/>
    </row>
    <row r="114" spans="10:80" x14ac:dyDescent="0.4">
      <c r="J114" s="4"/>
      <c r="K114" s="4"/>
      <c r="L114" s="4"/>
      <c r="M114" s="4"/>
      <c r="N114" s="4"/>
      <c r="BW114"/>
      <c r="BX114"/>
      <c r="BY114"/>
      <c r="BZ114"/>
      <c r="CA114"/>
      <c r="CB114"/>
    </row>
    <row r="115" spans="10:80" x14ac:dyDescent="0.4">
      <c r="J115" s="4"/>
      <c r="K115" s="4"/>
      <c r="L115" s="4"/>
      <c r="M115" s="4"/>
      <c r="N115" s="4"/>
      <c r="BW115"/>
      <c r="BX115"/>
      <c r="BY115"/>
      <c r="BZ115"/>
      <c r="CA115"/>
      <c r="CB115"/>
    </row>
    <row r="116" spans="10:80" x14ac:dyDescent="0.4">
      <c r="J116" s="4"/>
      <c r="K116" s="4"/>
      <c r="L116" s="4"/>
      <c r="M116" s="4"/>
      <c r="N116" s="4"/>
      <c r="BW116"/>
      <c r="BX116"/>
      <c r="BY116"/>
      <c r="BZ116"/>
      <c r="CA116"/>
      <c r="CB116"/>
    </row>
    <row r="117" spans="10:80" x14ac:dyDescent="0.4">
      <c r="J117" s="4"/>
      <c r="K117" s="4"/>
      <c r="L117" s="4"/>
      <c r="M117" s="4"/>
      <c r="N117" s="4"/>
      <c r="BW117"/>
      <c r="BX117"/>
      <c r="BY117"/>
      <c r="BZ117"/>
      <c r="CA117"/>
      <c r="CB117"/>
    </row>
    <row r="118" spans="10:80" x14ac:dyDescent="0.4">
      <c r="J118" s="4"/>
      <c r="K118" s="4"/>
      <c r="L118" s="4"/>
      <c r="M118" s="4"/>
      <c r="N118" s="4"/>
      <c r="BW118"/>
      <c r="BX118"/>
      <c r="BY118"/>
      <c r="BZ118"/>
      <c r="CA118"/>
      <c r="CB118"/>
    </row>
    <row r="119" spans="10:80" x14ac:dyDescent="0.4">
      <c r="J119" s="4"/>
      <c r="K119" s="4"/>
      <c r="L119" s="4"/>
      <c r="M119" s="4"/>
      <c r="N119" s="4"/>
      <c r="BW119"/>
      <c r="BX119"/>
      <c r="BY119"/>
      <c r="BZ119"/>
      <c r="CA119"/>
      <c r="CB119"/>
    </row>
    <row r="120" spans="10:80" x14ac:dyDescent="0.4">
      <c r="J120" s="4"/>
      <c r="K120" s="4"/>
      <c r="L120" s="4"/>
      <c r="M120" s="4"/>
      <c r="N120" s="4"/>
      <c r="BW120"/>
      <c r="BX120"/>
      <c r="BY120"/>
      <c r="BZ120"/>
      <c r="CA120"/>
      <c r="CB120"/>
    </row>
    <row r="121" spans="10:80" x14ac:dyDescent="0.4">
      <c r="J121" s="4"/>
      <c r="K121" s="4"/>
      <c r="L121" s="4"/>
      <c r="M121" s="4"/>
      <c r="N121" s="4"/>
      <c r="BW121"/>
      <c r="BX121"/>
      <c r="BY121"/>
      <c r="BZ121"/>
      <c r="CA121"/>
      <c r="CB121"/>
    </row>
    <row r="122" spans="10:80" x14ac:dyDescent="0.4">
      <c r="J122" s="4"/>
      <c r="K122" s="4"/>
      <c r="L122" s="4"/>
      <c r="M122" s="4"/>
      <c r="N122" s="4"/>
      <c r="BW122"/>
      <c r="BX122"/>
      <c r="BY122"/>
      <c r="BZ122"/>
      <c r="CA122"/>
      <c r="CB122"/>
    </row>
    <row r="123" spans="10:80" x14ac:dyDescent="0.4">
      <c r="J123" s="4"/>
      <c r="K123" s="4"/>
      <c r="L123" s="4"/>
      <c r="M123" s="4"/>
      <c r="N123" s="4"/>
      <c r="BW123"/>
      <c r="BX123"/>
      <c r="BY123"/>
      <c r="BZ123"/>
      <c r="CA123"/>
      <c r="CB123"/>
    </row>
    <row r="124" spans="10:80" x14ac:dyDescent="0.4">
      <c r="J124" s="4"/>
      <c r="K124" s="4"/>
      <c r="L124" s="4"/>
      <c r="M124" s="4"/>
      <c r="N124" s="4"/>
      <c r="BW124"/>
      <c r="BX124"/>
      <c r="BY124"/>
      <c r="BZ124"/>
      <c r="CA124"/>
      <c r="CB124"/>
    </row>
    <row r="125" spans="10:80" x14ac:dyDescent="0.4">
      <c r="J125" s="4"/>
      <c r="K125" s="4"/>
      <c r="L125" s="4"/>
      <c r="M125" s="4"/>
      <c r="N125" s="4"/>
      <c r="BW125"/>
      <c r="BX125"/>
      <c r="BY125"/>
      <c r="BZ125"/>
      <c r="CA125"/>
      <c r="CB125"/>
    </row>
    <row r="126" spans="10:80" x14ac:dyDescent="0.4">
      <c r="J126" s="4"/>
      <c r="K126" s="4"/>
      <c r="L126" s="4"/>
      <c r="M126" s="4"/>
      <c r="N126" s="4"/>
      <c r="BW126"/>
      <c r="BX126"/>
      <c r="BY126"/>
      <c r="BZ126"/>
      <c r="CA126"/>
      <c r="CB126"/>
    </row>
    <row r="127" spans="10:80" x14ac:dyDescent="0.4">
      <c r="J127" s="4"/>
      <c r="K127" s="4"/>
      <c r="L127" s="4"/>
      <c r="M127" s="4"/>
      <c r="N127" s="4"/>
      <c r="BW127"/>
      <c r="BX127"/>
      <c r="BY127"/>
      <c r="BZ127"/>
      <c r="CA127"/>
      <c r="CB127"/>
    </row>
    <row r="128" spans="10:80" x14ac:dyDescent="0.4">
      <c r="J128" s="4"/>
      <c r="K128" s="4"/>
      <c r="L128" s="4"/>
      <c r="M128" s="4"/>
      <c r="N128" s="4"/>
      <c r="BW128"/>
      <c r="BX128"/>
      <c r="BY128"/>
      <c r="BZ128"/>
      <c r="CA128"/>
      <c r="CB128"/>
    </row>
    <row r="129" spans="10:80" x14ac:dyDescent="0.4">
      <c r="J129" s="4"/>
      <c r="K129" s="4"/>
      <c r="L129" s="4"/>
      <c r="M129" s="4"/>
      <c r="N129" s="4"/>
      <c r="BW129"/>
      <c r="BX129"/>
      <c r="BY129"/>
      <c r="BZ129"/>
      <c r="CA129"/>
      <c r="CB129"/>
    </row>
    <row r="130" spans="10:80" x14ac:dyDescent="0.4">
      <c r="J130" s="4"/>
      <c r="K130" s="4"/>
      <c r="L130" s="4"/>
      <c r="M130" s="4"/>
      <c r="N130" s="4"/>
      <c r="BW130"/>
      <c r="BX130"/>
      <c r="BY130"/>
      <c r="BZ130"/>
      <c r="CA130"/>
      <c r="CB130"/>
    </row>
    <row r="131" spans="10:80" x14ac:dyDescent="0.4">
      <c r="J131" s="4"/>
      <c r="K131" s="4"/>
      <c r="L131" s="4"/>
      <c r="M131" s="4"/>
      <c r="N131" s="4"/>
      <c r="BW131"/>
      <c r="BX131"/>
      <c r="BY131"/>
      <c r="BZ131"/>
      <c r="CA131"/>
      <c r="CB131"/>
    </row>
    <row r="132" spans="10:80" x14ac:dyDescent="0.4">
      <c r="J132" s="4"/>
      <c r="K132" s="4"/>
      <c r="L132" s="4"/>
      <c r="M132" s="4"/>
      <c r="N132" s="4"/>
      <c r="BW132"/>
      <c r="BX132"/>
      <c r="BY132"/>
      <c r="BZ132"/>
      <c r="CA132"/>
      <c r="CB132"/>
    </row>
    <row r="133" spans="10:80" x14ac:dyDescent="0.4">
      <c r="J133" s="4"/>
      <c r="K133" s="4"/>
      <c r="L133" s="4"/>
      <c r="M133" s="4"/>
      <c r="N133" s="4"/>
      <c r="BW133"/>
      <c r="BX133"/>
      <c r="BY133"/>
      <c r="BZ133"/>
      <c r="CA133"/>
      <c r="CB133"/>
    </row>
    <row r="134" spans="10:80" x14ac:dyDescent="0.4">
      <c r="J134" s="4"/>
      <c r="K134" s="4"/>
      <c r="L134" s="4"/>
      <c r="M134" s="4"/>
      <c r="N134" s="4"/>
      <c r="BW134"/>
      <c r="BX134"/>
      <c r="BY134"/>
      <c r="BZ134"/>
      <c r="CA134"/>
      <c r="CB134"/>
    </row>
    <row r="135" spans="10:80" x14ac:dyDescent="0.4">
      <c r="J135" s="4"/>
      <c r="K135" s="4"/>
      <c r="L135" s="4"/>
      <c r="M135" s="4"/>
      <c r="N135" s="4"/>
      <c r="BW135"/>
      <c r="BX135"/>
      <c r="BY135"/>
      <c r="BZ135"/>
      <c r="CA135"/>
      <c r="CB135"/>
    </row>
    <row r="136" spans="10:80" x14ac:dyDescent="0.4">
      <c r="J136" s="4"/>
      <c r="K136" s="4"/>
      <c r="L136" s="4"/>
      <c r="M136" s="4"/>
      <c r="N136" s="4"/>
      <c r="BW136"/>
      <c r="BX136"/>
      <c r="BY136"/>
      <c r="BZ136"/>
      <c r="CA136"/>
      <c r="CB136"/>
    </row>
    <row r="137" spans="10:80" x14ac:dyDescent="0.4">
      <c r="J137" s="4"/>
      <c r="K137" s="4"/>
      <c r="L137" s="4"/>
      <c r="M137" s="4"/>
      <c r="N137" s="4"/>
      <c r="BW137"/>
      <c r="BX137"/>
      <c r="BY137"/>
      <c r="BZ137"/>
      <c r="CA137"/>
      <c r="CB137"/>
    </row>
    <row r="138" spans="10:80" x14ac:dyDescent="0.4">
      <c r="J138" s="4"/>
      <c r="K138" s="4"/>
      <c r="L138" s="4"/>
      <c r="M138" s="4"/>
      <c r="N138" s="4"/>
      <c r="BW138"/>
      <c r="BX138"/>
      <c r="BY138"/>
      <c r="BZ138"/>
      <c r="CA138"/>
      <c r="CB138"/>
    </row>
    <row r="139" spans="10:80" x14ac:dyDescent="0.4">
      <c r="J139" s="4"/>
      <c r="K139" s="4"/>
      <c r="L139" s="4"/>
      <c r="M139" s="4"/>
      <c r="N139" s="4"/>
      <c r="BW139"/>
      <c r="BX139"/>
      <c r="BY139"/>
      <c r="BZ139"/>
      <c r="CA139"/>
      <c r="CB139"/>
    </row>
    <row r="140" spans="10:80" x14ac:dyDescent="0.4">
      <c r="J140" s="4"/>
      <c r="K140" s="4"/>
      <c r="L140" s="4"/>
      <c r="M140" s="4"/>
      <c r="N140" s="4"/>
      <c r="BW140"/>
      <c r="BX140"/>
      <c r="BY140"/>
      <c r="BZ140"/>
      <c r="CA140"/>
      <c r="CB140"/>
    </row>
    <row r="141" spans="10:80" x14ac:dyDescent="0.4">
      <c r="J141" s="4"/>
      <c r="K141" s="4"/>
      <c r="L141" s="4"/>
      <c r="M141" s="4"/>
      <c r="N141" s="4"/>
      <c r="BW141"/>
      <c r="BX141"/>
      <c r="BY141"/>
      <c r="BZ141"/>
      <c r="CA141"/>
      <c r="CB141"/>
    </row>
    <row r="142" spans="10:80" x14ac:dyDescent="0.4">
      <c r="J142" s="4"/>
      <c r="K142" s="4"/>
      <c r="L142" s="4"/>
      <c r="M142" s="4"/>
      <c r="N142" s="4"/>
      <c r="BW142"/>
      <c r="BX142"/>
      <c r="BY142"/>
      <c r="BZ142"/>
      <c r="CA142"/>
      <c r="CB142"/>
    </row>
    <row r="143" spans="10:80" x14ac:dyDescent="0.4">
      <c r="J143" s="4"/>
      <c r="K143" s="4"/>
      <c r="L143" s="4"/>
      <c r="M143" s="4"/>
      <c r="N143" s="4"/>
      <c r="BW143"/>
      <c r="BX143"/>
      <c r="BY143"/>
      <c r="BZ143"/>
      <c r="CA143"/>
      <c r="CB143"/>
    </row>
    <row r="144" spans="10:80" x14ac:dyDescent="0.4">
      <c r="J144" s="4"/>
      <c r="K144" s="4"/>
      <c r="L144" s="4"/>
      <c r="M144" s="4"/>
      <c r="N144" s="4"/>
      <c r="BW144"/>
      <c r="BX144"/>
      <c r="BY144"/>
      <c r="BZ144"/>
      <c r="CA144"/>
      <c r="CB144"/>
    </row>
    <row r="145" spans="10:80" x14ac:dyDescent="0.4">
      <c r="J145" s="4"/>
      <c r="K145" s="4"/>
      <c r="L145" s="4"/>
      <c r="M145" s="4"/>
      <c r="N145" s="4"/>
      <c r="BW145"/>
      <c r="BX145"/>
      <c r="BY145"/>
      <c r="BZ145"/>
      <c r="CA145"/>
      <c r="CB145"/>
    </row>
    <row r="146" spans="10:80" x14ac:dyDescent="0.4">
      <c r="J146" s="4"/>
      <c r="K146" s="4"/>
      <c r="L146" s="4"/>
      <c r="M146" s="4"/>
      <c r="N146" s="4"/>
      <c r="BW146"/>
      <c r="BX146"/>
      <c r="BY146"/>
      <c r="BZ146"/>
      <c r="CA146"/>
      <c r="CB146"/>
    </row>
    <row r="147" spans="10:80" x14ac:dyDescent="0.4">
      <c r="J147" s="4"/>
      <c r="K147" s="4"/>
      <c r="L147" s="4"/>
      <c r="M147" s="4"/>
      <c r="N147" s="4"/>
      <c r="BW147"/>
      <c r="BX147"/>
      <c r="BY147"/>
      <c r="BZ147"/>
      <c r="CA147"/>
      <c r="CB147"/>
    </row>
    <row r="148" spans="10:80" x14ac:dyDescent="0.4">
      <c r="J148" s="4"/>
      <c r="K148" s="4"/>
      <c r="L148" s="4"/>
      <c r="M148" s="4"/>
      <c r="N148" s="4"/>
      <c r="BW148"/>
      <c r="BX148"/>
      <c r="BY148"/>
      <c r="BZ148"/>
      <c r="CA148"/>
      <c r="CB148"/>
    </row>
    <row r="149" spans="10:80" x14ac:dyDescent="0.4">
      <c r="J149" s="4"/>
      <c r="K149" s="4"/>
      <c r="L149" s="4"/>
      <c r="M149" s="4"/>
      <c r="N149" s="4"/>
      <c r="BW149"/>
      <c r="BX149"/>
      <c r="BY149"/>
      <c r="BZ149"/>
      <c r="CA149"/>
      <c r="CB149"/>
    </row>
    <row r="150" spans="10:80" x14ac:dyDescent="0.4">
      <c r="J150" s="4"/>
      <c r="K150" s="4"/>
      <c r="L150" s="4"/>
      <c r="M150" s="4"/>
      <c r="N150" s="4"/>
      <c r="BW150"/>
      <c r="BX150"/>
      <c r="BY150"/>
      <c r="BZ150"/>
      <c r="CA150"/>
      <c r="CB150"/>
    </row>
    <row r="151" spans="10:80" x14ac:dyDescent="0.4">
      <c r="J151" s="4"/>
      <c r="K151" s="4"/>
      <c r="L151" s="4"/>
      <c r="M151" s="4"/>
      <c r="N151" s="4"/>
      <c r="BW151"/>
      <c r="BX151"/>
      <c r="BY151"/>
      <c r="BZ151"/>
      <c r="CA151"/>
      <c r="CB151"/>
    </row>
    <row r="152" spans="10:80" x14ac:dyDescent="0.4">
      <c r="J152" s="4"/>
      <c r="K152" s="4"/>
      <c r="L152" s="4"/>
      <c r="M152" s="4"/>
      <c r="N152" s="4"/>
      <c r="BW152"/>
      <c r="BX152"/>
      <c r="BY152"/>
      <c r="BZ152"/>
      <c r="CA152"/>
      <c r="CB152"/>
    </row>
    <row r="153" spans="10:80" x14ac:dyDescent="0.4">
      <c r="J153" s="4"/>
      <c r="K153" s="4"/>
      <c r="L153" s="4"/>
      <c r="M153" s="4"/>
      <c r="N153" s="4"/>
      <c r="BW153"/>
      <c r="BX153"/>
      <c r="BY153"/>
      <c r="BZ153"/>
      <c r="CA153"/>
      <c r="CB153"/>
    </row>
    <row r="154" spans="10:80" x14ac:dyDescent="0.4">
      <c r="J154" s="4"/>
      <c r="K154" s="4"/>
      <c r="L154" s="4"/>
      <c r="M154" s="4"/>
      <c r="N154" s="4"/>
      <c r="BW154"/>
      <c r="BX154"/>
      <c r="BY154"/>
      <c r="BZ154"/>
      <c r="CA154"/>
      <c r="CB154"/>
    </row>
    <row r="155" spans="10:80" x14ac:dyDescent="0.4">
      <c r="J155" s="4"/>
      <c r="K155" s="4"/>
      <c r="L155" s="4"/>
      <c r="M155" s="4"/>
      <c r="N155" s="4"/>
      <c r="BW155"/>
      <c r="BX155"/>
      <c r="BY155"/>
      <c r="BZ155"/>
      <c r="CA155"/>
      <c r="CB155"/>
    </row>
    <row r="156" spans="10:80" x14ac:dyDescent="0.4">
      <c r="J156" s="4"/>
      <c r="K156" s="4"/>
      <c r="L156" s="4"/>
      <c r="M156" s="4"/>
      <c r="N156" s="4"/>
      <c r="BW156"/>
      <c r="BX156"/>
      <c r="BY156"/>
      <c r="BZ156"/>
      <c r="CA156"/>
      <c r="CB156"/>
    </row>
    <row r="157" spans="10:80" x14ac:dyDescent="0.4">
      <c r="J157" s="4"/>
      <c r="K157" s="4"/>
      <c r="L157" s="4"/>
      <c r="M157" s="4"/>
      <c r="N157" s="4"/>
      <c r="BW157"/>
      <c r="BX157"/>
      <c r="BY157"/>
      <c r="BZ157"/>
      <c r="CA157"/>
      <c r="CB157"/>
    </row>
    <row r="158" spans="10:80" x14ac:dyDescent="0.4">
      <c r="J158" s="4"/>
      <c r="K158" s="4"/>
      <c r="L158" s="4"/>
      <c r="M158" s="4"/>
      <c r="N158" s="4"/>
      <c r="BW158"/>
      <c r="BX158"/>
      <c r="BY158"/>
      <c r="BZ158"/>
      <c r="CA158"/>
      <c r="CB158"/>
    </row>
    <row r="159" spans="10:80" x14ac:dyDescent="0.4">
      <c r="J159" s="4"/>
      <c r="K159" s="4"/>
      <c r="L159" s="4"/>
      <c r="M159" s="4"/>
      <c r="N159" s="4"/>
      <c r="BW159"/>
      <c r="BX159"/>
      <c r="BY159"/>
      <c r="BZ159"/>
      <c r="CA159"/>
      <c r="CB159"/>
    </row>
    <row r="160" spans="10:80" x14ac:dyDescent="0.4">
      <c r="J160" s="4"/>
      <c r="K160" s="4"/>
      <c r="L160" s="4"/>
      <c r="M160" s="4"/>
      <c r="N160" s="4"/>
      <c r="BW160"/>
      <c r="BX160"/>
      <c r="BY160"/>
      <c r="BZ160"/>
      <c r="CA160"/>
      <c r="CB160"/>
    </row>
    <row r="161" spans="10:80" x14ac:dyDescent="0.4">
      <c r="J161" s="4"/>
      <c r="K161" s="4"/>
      <c r="L161" s="4"/>
      <c r="M161" s="4"/>
      <c r="N161" s="4"/>
      <c r="BW161"/>
      <c r="BX161"/>
      <c r="BY161"/>
      <c r="BZ161"/>
      <c r="CA161"/>
      <c r="CB161"/>
    </row>
    <row r="162" spans="10:80" x14ac:dyDescent="0.4">
      <c r="J162" s="4"/>
      <c r="K162" s="4"/>
      <c r="L162" s="4"/>
      <c r="M162" s="4"/>
      <c r="N162" s="4"/>
      <c r="BW162"/>
      <c r="BX162"/>
      <c r="BY162"/>
      <c r="BZ162"/>
      <c r="CA162"/>
      <c r="CB162"/>
    </row>
    <row r="163" spans="10:80" x14ac:dyDescent="0.4">
      <c r="J163" s="4"/>
      <c r="K163" s="4"/>
      <c r="L163" s="4"/>
      <c r="M163" s="4"/>
      <c r="N163" s="4"/>
      <c r="BW163"/>
      <c r="BX163"/>
      <c r="BY163"/>
      <c r="BZ163"/>
      <c r="CA163"/>
      <c r="CB163"/>
    </row>
    <row r="164" spans="10:80" x14ac:dyDescent="0.4">
      <c r="J164" s="4"/>
      <c r="K164" s="4"/>
      <c r="L164" s="4"/>
      <c r="M164" s="4"/>
      <c r="N164" s="4"/>
      <c r="BW164"/>
      <c r="BX164"/>
      <c r="BY164"/>
      <c r="BZ164"/>
      <c r="CA164"/>
      <c r="CB164"/>
    </row>
    <row r="165" spans="10:80" x14ac:dyDescent="0.4">
      <c r="J165" s="4"/>
      <c r="K165" s="4"/>
      <c r="L165" s="4"/>
      <c r="M165" s="4"/>
      <c r="N165" s="4"/>
      <c r="BW165"/>
      <c r="BX165"/>
      <c r="BY165"/>
      <c r="BZ165"/>
      <c r="CA165"/>
      <c r="CB165"/>
    </row>
    <row r="166" spans="10:80" x14ac:dyDescent="0.4">
      <c r="J166" s="4"/>
      <c r="K166" s="4"/>
      <c r="L166" s="4"/>
      <c r="M166" s="4"/>
      <c r="N166" s="4"/>
      <c r="BW166"/>
      <c r="BX166"/>
      <c r="BY166"/>
      <c r="BZ166"/>
      <c r="CA166"/>
      <c r="CB166"/>
    </row>
    <row r="167" spans="10:80" x14ac:dyDescent="0.4">
      <c r="J167" s="4"/>
      <c r="K167" s="4"/>
      <c r="L167" s="4"/>
      <c r="M167" s="4"/>
      <c r="N167" s="4"/>
      <c r="BW167"/>
      <c r="BX167"/>
      <c r="BY167"/>
      <c r="BZ167"/>
      <c r="CA167"/>
      <c r="CB167"/>
    </row>
    <row r="168" spans="10:80" x14ac:dyDescent="0.4">
      <c r="J168" s="4"/>
      <c r="K168" s="4"/>
      <c r="L168" s="4"/>
      <c r="M168" s="4"/>
      <c r="N168" s="4"/>
      <c r="BW168"/>
      <c r="BX168"/>
      <c r="BY168"/>
      <c r="BZ168"/>
      <c r="CA168"/>
      <c r="CB168"/>
    </row>
    <row r="169" spans="10:80" x14ac:dyDescent="0.4">
      <c r="J169" s="4"/>
      <c r="K169" s="4"/>
      <c r="L169" s="4"/>
      <c r="M169" s="4"/>
      <c r="N169" s="4"/>
      <c r="BW169"/>
      <c r="BX169"/>
      <c r="BY169"/>
      <c r="BZ169"/>
      <c r="CA169"/>
      <c r="CB169"/>
    </row>
    <row r="170" spans="10:80" x14ac:dyDescent="0.4">
      <c r="J170" s="4"/>
      <c r="K170" s="4"/>
      <c r="L170" s="4"/>
      <c r="M170" s="4"/>
      <c r="N170" s="4"/>
      <c r="BW170"/>
      <c r="BX170"/>
      <c r="BY170"/>
      <c r="BZ170"/>
      <c r="CA170"/>
      <c r="CB170"/>
    </row>
    <row r="171" spans="10:80" x14ac:dyDescent="0.4">
      <c r="J171" s="4"/>
      <c r="K171" s="4"/>
      <c r="L171" s="4"/>
      <c r="M171" s="4"/>
      <c r="N171" s="4"/>
      <c r="BW171"/>
      <c r="BX171"/>
      <c r="BY171"/>
      <c r="BZ171"/>
      <c r="CA171"/>
      <c r="CB171"/>
    </row>
    <row r="172" spans="10:80" x14ac:dyDescent="0.4">
      <c r="J172" s="4"/>
      <c r="K172" s="4"/>
      <c r="L172" s="4"/>
      <c r="M172" s="4"/>
      <c r="N172" s="4"/>
      <c r="BW172"/>
      <c r="BX172"/>
      <c r="BY172"/>
      <c r="BZ172"/>
      <c r="CA172"/>
      <c r="CB172"/>
    </row>
    <row r="173" spans="10:80" x14ac:dyDescent="0.4">
      <c r="J173" s="4"/>
      <c r="K173" s="4"/>
      <c r="L173" s="4"/>
      <c r="M173" s="4"/>
      <c r="N173" s="4"/>
      <c r="BW173"/>
      <c r="BX173"/>
      <c r="BY173"/>
      <c r="BZ173"/>
      <c r="CA173"/>
      <c r="CB173"/>
    </row>
    <row r="174" spans="10:80" x14ac:dyDescent="0.4">
      <c r="J174" s="4"/>
      <c r="K174" s="4"/>
      <c r="L174" s="4"/>
      <c r="M174" s="4"/>
      <c r="N174" s="4"/>
      <c r="BW174"/>
      <c r="BX174"/>
      <c r="BY174"/>
      <c r="BZ174"/>
      <c r="CA174"/>
      <c r="CB174"/>
    </row>
    <row r="175" spans="10:80" x14ac:dyDescent="0.4">
      <c r="J175" s="4"/>
      <c r="K175" s="4"/>
      <c r="L175" s="4"/>
      <c r="M175" s="4"/>
      <c r="N175" s="4"/>
      <c r="BW175"/>
      <c r="BX175"/>
      <c r="BY175"/>
      <c r="BZ175"/>
      <c r="CA175"/>
      <c r="CB175"/>
    </row>
    <row r="176" spans="10:80" x14ac:dyDescent="0.4">
      <c r="J176" s="4"/>
      <c r="K176" s="4"/>
      <c r="L176" s="4"/>
      <c r="M176" s="4"/>
      <c r="N176" s="4"/>
      <c r="BW176"/>
      <c r="BX176"/>
      <c r="BY176"/>
      <c r="BZ176"/>
      <c r="CA176"/>
      <c r="CB176"/>
    </row>
    <row r="177" spans="10:80" x14ac:dyDescent="0.4">
      <c r="J177" s="4"/>
      <c r="K177" s="4"/>
      <c r="L177" s="4"/>
      <c r="M177" s="4"/>
      <c r="N177" s="4"/>
      <c r="BW177"/>
      <c r="BX177"/>
      <c r="BY177"/>
      <c r="BZ177"/>
      <c r="CA177"/>
      <c r="CB177"/>
    </row>
    <row r="178" spans="10:80" x14ac:dyDescent="0.4">
      <c r="J178" s="4"/>
      <c r="K178" s="4"/>
      <c r="L178" s="4"/>
      <c r="M178" s="4"/>
      <c r="N178" s="4"/>
      <c r="BW178"/>
      <c r="BX178"/>
      <c r="BY178"/>
      <c r="BZ178"/>
      <c r="CA178"/>
      <c r="CB178"/>
    </row>
    <row r="179" spans="10:80" x14ac:dyDescent="0.4">
      <c r="J179" s="4"/>
      <c r="K179" s="4"/>
      <c r="L179" s="4"/>
      <c r="M179" s="4"/>
      <c r="N179" s="4"/>
      <c r="BW179"/>
      <c r="BX179"/>
      <c r="BY179"/>
      <c r="BZ179"/>
      <c r="CA179"/>
      <c r="CB179"/>
    </row>
    <row r="180" spans="10:80" x14ac:dyDescent="0.4">
      <c r="J180" s="4"/>
      <c r="K180" s="4"/>
      <c r="L180" s="4"/>
      <c r="M180" s="4"/>
      <c r="N180" s="4"/>
      <c r="BW180"/>
      <c r="BX180"/>
      <c r="BY180"/>
      <c r="BZ180"/>
      <c r="CA180"/>
      <c r="CB180"/>
    </row>
    <row r="181" spans="10:80" x14ac:dyDescent="0.4">
      <c r="J181" s="4"/>
      <c r="K181" s="4"/>
      <c r="L181" s="4"/>
      <c r="M181" s="4"/>
      <c r="N181" s="4"/>
      <c r="BW181"/>
      <c r="BX181"/>
      <c r="BY181"/>
      <c r="BZ181"/>
      <c r="CA181"/>
      <c r="CB181"/>
    </row>
    <row r="182" spans="10:80" x14ac:dyDescent="0.4">
      <c r="J182" s="4"/>
      <c r="K182" s="4"/>
      <c r="L182" s="4"/>
      <c r="M182" s="4"/>
      <c r="N182" s="4"/>
      <c r="BW182"/>
      <c r="BX182"/>
      <c r="BY182"/>
      <c r="BZ182"/>
      <c r="CA182"/>
      <c r="CB182"/>
    </row>
    <row r="183" spans="10:80" x14ac:dyDescent="0.4">
      <c r="J183" s="4"/>
      <c r="K183" s="4"/>
      <c r="L183" s="4"/>
      <c r="M183" s="4"/>
      <c r="N183" s="4"/>
      <c r="BW183"/>
      <c r="BX183"/>
      <c r="BY183"/>
      <c r="BZ183"/>
      <c r="CA183"/>
      <c r="CB183"/>
    </row>
    <row r="184" spans="10:80" x14ac:dyDescent="0.4">
      <c r="J184" s="4"/>
      <c r="K184" s="4"/>
      <c r="L184" s="4"/>
      <c r="M184" s="4"/>
      <c r="N184" s="4"/>
      <c r="BW184"/>
      <c r="BX184"/>
      <c r="BY184"/>
      <c r="BZ184"/>
      <c r="CA184"/>
      <c r="CB184"/>
    </row>
    <row r="185" spans="10:80" x14ac:dyDescent="0.4">
      <c r="J185" s="4"/>
      <c r="K185" s="4"/>
      <c r="L185" s="4"/>
      <c r="M185" s="4"/>
      <c r="N185" s="4"/>
      <c r="BW185"/>
      <c r="BX185"/>
      <c r="BY185"/>
      <c r="BZ185"/>
      <c r="CA185"/>
      <c r="CB185"/>
    </row>
    <row r="186" spans="10:80" x14ac:dyDescent="0.4">
      <c r="J186" s="4"/>
      <c r="K186" s="4"/>
      <c r="L186" s="4"/>
      <c r="M186" s="4"/>
      <c r="N186" s="4"/>
      <c r="BW186"/>
      <c r="BX186"/>
      <c r="BY186"/>
      <c r="BZ186"/>
      <c r="CA186"/>
      <c r="CB186"/>
    </row>
    <row r="187" spans="10:80" x14ac:dyDescent="0.4">
      <c r="J187" s="4"/>
      <c r="K187" s="4"/>
      <c r="L187" s="4"/>
      <c r="M187" s="4"/>
      <c r="N187" s="4"/>
      <c r="BW187"/>
      <c r="BX187"/>
      <c r="BY187"/>
      <c r="BZ187"/>
      <c r="CA187"/>
      <c r="CB187"/>
    </row>
    <row r="188" spans="10:80" x14ac:dyDescent="0.4">
      <c r="J188" s="4"/>
      <c r="K188" s="4"/>
      <c r="L188" s="4"/>
      <c r="M188" s="4"/>
      <c r="N188" s="4"/>
      <c r="BW188"/>
      <c r="BX188"/>
      <c r="BY188"/>
      <c r="BZ188"/>
      <c r="CA188"/>
      <c r="CB188"/>
    </row>
    <row r="189" spans="10:80" x14ac:dyDescent="0.4">
      <c r="J189" s="4"/>
      <c r="K189" s="4"/>
      <c r="L189" s="4"/>
      <c r="M189" s="4"/>
      <c r="N189" s="4"/>
      <c r="BW189"/>
      <c r="BX189"/>
      <c r="BY189"/>
      <c r="BZ189"/>
      <c r="CA189"/>
      <c r="CB189"/>
    </row>
    <row r="190" spans="10:80" x14ac:dyDescent="0.4">
      <c r="J190" s="4"/>
      <c r="K190" s="4"/>
      <c r="L190" s="4"/>
      <c r="M190" s="4"/>
      <c r="N190" s="4"/>
      <c r="BW190"/>
      <c r="BX190"/>
      <c r="BY190"/>
      <c r="BZ190"/>
      <c r="CA190"/>
      <c r="CB190"/>
    </row>
    <row r="191" spans="10:80" x14ac:dyDescent="0.4">
      <c r="J191" s="4"/>
      <c r="K191" s="4"/>
      <c r="L191" s="4"/>
      <c r="M191" s="4"/>
      <c r="N191" s="4"/>
      <c r="BW191"/>
      <c r="BX191"/>
      <c r="BY191"/>
      <c r="BZ191"/>
      <c r="CA191"/>
      <c r="CB191"/>
    </row>
    <row r="192" spans="10:80" x14ac:dyDescent="0.4">
      <c r="J192" s="4"/>
      <c r="K192" s="4"/>
      <c r="L192" s="4"/>
      <c r="M192" s="4"/>
      <c r="N192" s="4"/>
      <c r="BW192"/>
      <c r="BX192"/>
      <c r="BY192"/>
      <c r="BZ192"/>
      <c r="CA192"/>
      <c r="CB192"/>
    </row>
    <row r="193" spans="10:80" x14ac:dyDescent="0.4">
      <c r="J193" s="4"/>
      <c r="K193" s="4"/>
      <c r="L193" s="4"/>
      <c r="M193" s="4"/>
      <c r="N193" s="4"/>
      <c r="BW193"/>
      <c r="BX193"/>
      <c r="BY193"/>
      <c r="BZ193"/>
      <c r="CA193"/>
      <c r="CB193"/>
    </row>
    <row r="194" spans="10:80" x14ac:dyDescent="0.4">
      <c r="J194" s="4"/>
      <c r="K194" s="4"/>
      <c r="L194" s="4"/>
      <c r="M194" s="4"/>
      <c r="N194" s="4"/>
      <c r="BW194"/>
      <c r="BX194"/>
      <c r="BY194"/>
      <c r="BZ194"/>
      <c r="CA194"/>
      <c r="CB194"/>
    </row>
    <row r="195" spans="10:80" x14ac:dyDescent="0.4">
      <c r="J195" s="4"/>
      <c r="K195" s="4"/>
      <c r="L195" s="4"/>
      <c r="M195" s="4"/>
      <c r="N195" s="4"/>
      <c r="BW195"/>
      <c r="BX195"/>
      <c r="BY195"/>
      <c r="BZ195"/>
      <c r="CA195"/>
      <c r="CB195"/>
    </row>
    <row r="196" spans="10:80" x14ac:dyDescent="0.4">
      <c r="J196" s="4"/>
      <c r="K196" s="4"/>
      <c r="L196" s="4"/>
      <c r="M196" s="4"/>
      <c r="N196" s="4"/>
      <c r="BW196"/>
      <c r="BX196"/>
      <c r="BY196"/>
      <c r="BZ196"/>
      <c r="CA196"/>
      <c r="CB196"/>
    </row>
    <row r="197" spans="10:80" x14ac:dyDescent="0.4">
      <c r="J197" s="4"/>
      <c r="K197" s="4"/>
      <c r="L197" s="4"/>
      <c r="M197" s="4"/>
      <c r="N197" s="4"/>
      <c r="BW197"/>
      <c r="BX197"/>
      <c r="BY197"/>
      <c r="BZ197"/>
      <c r="CA197"/>
      <c r="CB197"/>
    </row>
    <row r="198" spans="10:80" x14ac:dyDescent="0.4">
      <c r="J198" s="4"/>
      <c r="K198" s="4"/>
      <c r="L198" s="4"/>
      <c r="M198" s="4"/>
      <c r="N198" s="4"/>
      <c r="BW198"/>
      <c r="BX198"/>
      <c r="BY198"/>
      <c r="BZ198"/>
      <c r="CA198"/>
      <c r="CB198"/>
    </row>
    <row r="199" spans="10:80" x14ac:dyDescent="0.4">
      <c r="J199" s="4"/>
      <c r="K199" s="4"/>
      <c r="L199" s="4"/>
      <c r="M199" s="4"/>
      <c r="N199" s="4"/>
      <c r="BW199"/>
      <c r="BX199"/>
      <c r="BY199"/>
      <c r="BZ199"/>
      <c r="CA199"/>
      <c r="CB199"/>
    </row>
    <row r="200" spans="10:80" x14ac:dyDescent="0.4">
      <c r="J200" s="4"/>
      <c r="K200" s="4"/>
      <c r="L200" s="4"/>
      <c r="M200" s="4"/>
      <c r="N200" s="4"/>
      <c r="BW200"/>
      <c r="BX200"/>
      <c r="BY200"/>
      <c r="BZ200"/>
      <c r="CA200"/>
      <c r="CB200"/>
    </row>
    <row r="201" spans="10:80" x14ac:dyDescent="0.4">
      <c r="J201" s="4"/>
      <c r="K201" s="4"/>
      <c r="L201" s="4"/>
      <c r="M201" s="4"/>
      <c r="N201" s="4"/>
      <c r="BW201"/>
      <c r="BX201"/>
      <c r="BY201"/>
      <c r="BZ201"/>
      <c r="CA201"/>
      <c r="CB201"/>
    </row>
    <row r="202" spans="10:80" x14ac:dyDescent="0.4">
      <c r="J202" s="4"/>
      <c r="K202" s="4"/>
      <c r="L202" s="4"/>
      <c r="M202" s="4"/>
      <c r="N202" s="4"/>
      <c r="BW202"/>
      <c r="BX202"/>
      <c r="BY202"/>
      <c r="BZ202"/>
      <c r="CA202"/>
      <c r="CB202"/>
    </row>
    <row r="203" spans="10:80" x14ac:dyDescent="0.4">
      <c r="J203" s="4"/>
      <c r="K203" s="4"/>
      <c r="L203" s="4"/>
      <c r="M203" s="4"/>
      <c r="N203" s="4"/>
      <c r="BW203"/>
      <c r="BX203"/>
      <c r="BY203"/>
      <c r="BZ203"/>
      <c r="CA203"/>
      <c r="CB203"/>
    </row>
    <row r="204" spans="10:80" x14ac:dyDescent="0.4">
      <c r="J204" s="4"/>
      <c r="K204" s="4"/>
      <c r="L204" s="4"/>
      <c r="M204" s="4"/>
      <c r="N204" s="4"/>
      <c r="BW204"/>
      <c r="BX204"/>
      <c r="BY204"/>
      <c r="BZ204"/>
      <c r="CA204"/>
      <c r="CB204"/>
    </row>
    <row r="205" spans="10:80" x14ac:dyDescent="0.4">
      <c r="J205" s="4"/>
      <c r="K205" s="4"/>
      <c r="L205" s="4"/>
      <c r="M205" s="4"/>
      <c r="N205" s="4"/>
      <c r="BW205"/>
      <c r="BX205"/>
      <c r="BY205"/>
      <c r="BZ205"/>
      <c r="CA205"/>
      <c r="CB205"/>
    </row>
    <row r="206" spans="10:80" x14ac:dyDescent="0.4">
      <c r="J206" s="4"/>
      <c r="K206" s="4"/>
      <c r="L206" s="4"/>
      <c r="M206" s="4"/>
      <c r="N206" s="4"/>
      <c r="BW206"/>
      <c r="BX206"/>
      <c r="BY206"/>
      <c r="BZ206"/>
      <c r="CA206"/>
      <c r="CB206"/>
    </row>
    <row r="207" spans="10:80" x14ac:dyDescent="0.4">
      <c r="J207" s="4"/>
      <c r="K207" s="4"/>
      <c r="L207" s="4"/>
      <c r="M207" s="4"/>
      <c r="N207" s="4"/>
      <c r="BW207"/>
      <c r="BX207"/>
      <c r="BY207"/>
      <c r="BZ207"/>
      <c r="CA207"/>
      <c r="CB207"/>
    </row>
    <row r="208" spans="10:80" x14ac:dyDescent="0.4">
      <c r="J208" s="4"/>
      <c r="K208" s="4"/>
      <c r="L208" s="4"/>
      <c r="M208" s="4"/>
      <c r="N208" s="4"/>
      <c r="BW208"/>
      <c r="BX208"/>
      <c r="BY208"/>
      <c r="BZ208"/>
      <c r="CA208"/>
      <c r="CB208"/>
    </row>
    <row r="209" spans="10:80" x14ac:dyDescent="0.4">
      <c r="J209" s="4"/>
      <c r="K209" s="4"/>
      <c r="L209" s="4"/>
      <c r="BW209"/>
      <c r="BX209"/>
      <c r="BY209"/>
      <c r="BZ209"/>
      <c r="CA209"/>
      <c r="CB209"/>
    </row>
    <row r="210" spans="10:80" x14ac:dyDescent="0.4">
      <c r="J210" s="4"/>
      <c r="K210" s="4"/>
      <c r="L210" s="4"/>
      <c r="BW210"/>
      <c r="BX210"/>
      <c r="BY210"/>
      <c r="BZ210"/>
      <c r="CA210"/>
      <c r="CB210"/>
    </row>
    <row r="211" spans="10:80" x14ac:dyDescent="0.4">
      <c r="J211" s="4"/>
      <c r="K211" s="4"/>
      <c r="L211" s="4"/>
      <c r="BW211"/>
      <c r="BX211"/>
      <c r="BY211"/>
      <c r="BZ211"/>
      <c r="CA211"/>
      <c r="CB211"/>
    </row>
    <row r="212" spans="10:80" x14ac:dyDescent="0.4">
      <c r="J212" s="4"/>
      <c r="K212" s="4"/>
      <c r="L212" s="4"/>
      <c r="BW212"/>
      <c r="BX212"/>
      <c r="BY212"/>
      <c r="BZ212"/>
      <c r="CA212"/>
      <c r="CB212"/>
    </row>
    <row r="213" spans="10:80" x14ac:dyDescent="0.4">
      <c r="J213" s="4"/>
      <c r="K213" s="4"/>
      <c r="L213" s="4"/>
      <c r="BW213"/>
      <c r="BX213"/>
      <c r="BY213"/>
      <c r="BZ213"/>
      <c r="CA213"/>
      <c r="CB213"/>
    </row>
    <row r="214" spans="10:80" x14ac:dyDescent="0.4">
      <c r="J214" s="4"/>
      <c r="K214" s="4"/>
      <c r="L214" s="4"/>
      <c r="BW214"/>
      <c r="BX214"/>
      <c r="BY214"/>
      <c r="BZ214"/>
      <c r="CA214"/>
      <c r="CB214"/>
    </row>
    <row r="215" spans="10:80" x14ac:dyDescent="0.4">
      <c r="J215" s="4"/>
      <c r="K215" s="4"/>
      <c r="L215" s="4"/>
      <c r="BW215"/>
      <c r="BX215"/>
      <c r="BY215"/>
      <c r="BZ215"/>
      <c r="CA215"/>
      <c r="CB215"/>
    </row>
    <row r="216" spans="10:80" x14ac:dyDescent="0.4">
      <c r="J216" s="4"/>
      <c r="K216" s="4"/>
      <c r="L216" s="4"/>
      <c r="BW216"/>
      <c r="BX216"/>
      <c r="BY216"/>
      <c r="BZ216"/>
      <c r="CA216"/>
      <c r="CB216"/>
    </row>
    <row r="217" spans="10:80" x14ac:dyDescent="0.4">
      <c r="J217" s="4"/>
      <c r="K217" s="4"/>
      <c r="L217" s="4"/>
      <c r="BW217"/>
      <c r="BX217"/>
      <c r="BY217"/>
      <c r="BZ217"/>
      <c r="CA217"/>
      <c r="CB217"/>
    </row>
    <row r="218" spans="10:80" x14ac:dyDescent="0.4">
      <c r="J218" s="4"/>
      <c r="K218" s="4"/>
      <c r="L218" s="4"/>
      <c r="BW218"/>
      <c r="BX218"/>
      <c r="BY218"/>
      <c r="BZ218"/>
      <c r="CA218"/>
      <c r="CB218"/>
    </row>
    <row r="219" spans="10:80" x14ac:dyDescent="0.4">
      <c r="J219" s="4"/>
      <c r="K219" s="4"/>
      <c r="L219" s="4"/>
      <c r="BW219"/>
      <c r="BX219"/>
      <c r="BY219"/>
      <c r="BZ219"/>
      <c r="CA219"/>
      <c r="CB219"/>
    </row>
    <row r="220" spans="10:80" x14ac:dyDescent="0.4">
      <c r="J220" s="4"/>
      <c r="K220" s="4"/>
      <c r="L220" s="4"/>
      <c r="BW220"/>
      <c r="BX220"/>
      <c r="BY220"/>
      <c r="BZ220"/>
      <c r="CA220"/>
      <c r="CB220"/>
    </row>
    <row r="221" spans="10:80" x14ac:dyDescent="0.4">
      <c r="J221" s="4"/>
      <c r="K221" s="4"/>
      <c r="L221" s="4"/>
      <c r="BW221"/>
      <c r="BX221"/>
      <c r="BY221"/>
      <c r="BZ221"/>
      <c r="CA221"/>
      <c r="CB221"/>
    </row>
    <row r="222" spans="10:80" x14ac:dyDescent="0.4">
      <c r="J222" s="4"/>
      <c r="K222" s="4"/>
      <c r="L222" s="4"/>
      <c r="BW222"/>
      <c r="BX222"/>
      <c r="BY222"/>
      <c r="BZ222"/>
      <c r="CA222"/>
      <c r="CB222"/>
    </row>
    <row r="223" spans="10:80" x14ac:dyDescent="0.4">
      <c r="J223" s="4"/>
      <c r="K223" s="4"/>
      <c r="L223" s="4"/>
      <c r="BW223"/>
      <c r="BX223"/>
      <c r="BY223"/>
      <c r="BZ223"/>
      <c r="CA223"/>
      <c r="CB223"/>
    </row>
    <row r="224" spans="10:80" x14ac:dyDescent="0.4">
      <c r="J224" s="4"/>
      <c r="K224" s="4"/>
      <c r="L224" s="4"/>
      <c r="BW224"/>
      <c r="BX224"/>
      <c r="BY224"/>
      <c r="BZ224"/>
      <c r="CA224"/>
      <c r="CB224"/>
    </row>
    <row r="225" spans="10:80" x14ac:dyDescent="0.4">
      <c r="J225" s="4"/>
      <c r="K225" s="4"/>
      <c r="L225" s="4"/>
      <c r="BW225"/>
      <c r="BX225"/>
      <c r="BY225"/>
      <c r="BZ225"/>
      <c r="CA225"/>
      <c r="CB225"/>
    </row>
    <row r="226" spans="10:80" x14ac:dyDescent="0.4">
      <c r="J226" s="4"/>
      <c r="K226" s="4"/>
      <c r="L226" s="4"/>
      <c r="BW226"/>
      <c r="BX226"/>
      <c r="BY226"/>
      <c r="BZ226"/>
      <c r="CA226"/>
      <c r="CB226"/>
    </row>
    <row r="227" spans="10:80" x14ac:dyDescent="0.4">
      <c r="J227" s="4"/>
      <c r="K227" s="4"/>
      <c r="L227" s="4"/>
      <c r="BW227"/>
      <c r="BX227"/>
      <c r="BY227"/>
      <c r="BZ227"/>
      <c r="CA227"/>
      <c r="CB227"/>
    </row>
    <row r="228" spans="10:80" x14ac:dyDescent="0.4">
      <c r="J228" s="4"/>
      <c r="K228" s="4"/>
      <c r="L228" s="4"/>
      <c r="BW228"/>
      <c r="BX228"/>
      <c r="BY228"/>
      <c r="BZ228"/>
      <c r="CA228"/>
      <c r="CB228"/>
    </row>
    <row r="229" spans="10:80" x14ac:dyDescent="0.4">
      <c r="J229" s="4"/>
      <c r="K229" s="4"/>
      <c r="L229" s="4"/>
      <c r="BW229"/>
      <c r="BX229"/>
      <c r="BY229"/>
      <c r="BZ229"/>
      <c r="CA229"/>
      <c r="CB229"/>
    </row>
    <row r="230" spans="10:80" x14ac:dyDescent="0.4">
      <c r="J230" s="4"/>
      <c r="K230" s="4"/>
      <c r="L230" s="4"/>
      <c r="BW230"/>
      <c r="BX230"/>
      <c r="BY230"/>
      <c r="BZ230"/>
      <c r="CA230"/>
      <c r="CB230"/>
    </row>
    <row r="231" spans="10:80" x14ac:dyDescent="0.4">
      <c r="J231" s="4"/>
      <c r="K231" s="4"/>
      <c r="L231" s="4"/>
      <c r="BW231"/>
      <c r="BX231"/>
      <c r="BY231"/>
      <c r="BZ231"/>
      <c r="CA231"/>
      <c r="CB231"/>
    </row>
    <row r="232" spans="10:80" x14ac:dyDescent="0.4">
      <c r="J232" s="4"/>
      <c r="K232" s="4"/>
      <c r="L232" s="4"/>
      <c r="BW232"/>
      <c r="BX232"/>
      <c r="BY232"/>
      <c r="BZ232"/>
      <c r="CA232"/>
      <c r="CB232"/>
    </row>
    <row r="233" spans="10:80" x14ac:dyDescent="0.4">
      <c r="J233" s="4"/>
      <c r="K233" s="4"/>
      <c r="L233" s="4"/>
      <c r="BW233"/>
      <c r="BX233"/>
      <c r="BY233"/>
      <c r="BZ233"/>
      <c r="CA233"/>
      <c r="CB233"/>
    </row>
    <row r="234" spans="10:80" x14ac:dyDescent="0.4">
      <c r="J234" s="4"/>
      <c r="K234" s="4"/>
      <c r="L234" s="4"/>
      <c r="BW234"/>
      <c r="BX234"/>
      <c r="BY234"/>
      <c r="BZ234"/>
      <c r="CA234"/>
      <c r="CB234"/>
    </row>
    <row r="235" spans="10:80" x14ac:dyDescent="0.4">
      <c r="J235" s="4"/>
      <c r="K235" s="4"/>
      <c r="L235" s="4"/>
      <c r="BW235"/>
      <c r="BX235"/>
      <c r="BY235"/>
      <c r="BZ235"/>
      <c r="CA235"/>
      <c r="CB235"/>
    </row>
    <row r="236" spans="10:80" x14ac:dyDescent="0.4">
      <c r="J236" s="4"/>
      <c r="K236" s="4"/>
      <c r="L236" s="4"/>
      <c r="BW236"/>
      <c r="BX236"/>
      <c r="BY236"/>
      <c r="BZ236"/>
      <c r="CA236"/>
      <c r="CB236"/>
    </row>
    <row r="237" spans="10:80" x14ac:dyDescent="0.4">
      <c r="J237" s="4"/>
      <c r="K237" s="4"/>
      <c r="L237" s="4"/>
      <c r="BW237"/>
      <c r="BX237"/>
      <c r="BY237"/>
      <c r="BZ237"/>
      <c r="CA237"/>
      <c r="CB237"/>
    </row>
    <row r="238" spans="10:80" x14ac:dyDescent="0.4">
      <c r="J238" s="4"/>
      <c r="K238" s="4"/>
      <c r="L238" s="4"/>
      <c r="BW238"/>
      <c r="BX238"/>
      <c r="BY238"/>
      <c r="BZ238"/>
      <c r="CA238"/>
      <c r="CB238"/>
    </row>
    <row r="239" spans="10:80" x14ac:dyDescent="0.4">
      <c r="J239" s="4"/>
      <c r="K239" s="4"/>
      <c r="L239" s="4"/>
      <c r="BW239"/>
      <c r="BX239"/>
      <c r="BY239"/>
      <c r="BZ239"/>
      <c r="CA239"/>
      <c r="CB239"/>
    </row>
    <row r="240" spans="10:80" x14ac:dyDescent="0.4">
      <c r="J240" s="4"/>
      <c r="K240" s="4"/>
      <c r="L240" s="4"/>
      <c r="BW240"/>
      <c r="BX240"/>
      <c r="BY240"/>
      <c r="BZ240"/>
      <c r="CA240"/>
      <c r="CB240"/>
    </row>
    <row r="241" spans="10:80" x14ac:dyDescent="0.4">
      <c r="J241" s="4"/>
      <c r="K241" s="4"/>
      <c r="L241" s="4"/>
      <c r="BW241"/>
      <c r="BX241"/>
      <c r="BY241"/>
      <c r="BZ241"/>
      <c r="CA241"/>
      <c r="CB241"/>
    </row>
    <row r="242" spans="10:80" x14ac:dyDescent="0.4">
      <c r="J242" s="4"/>
      <c r="K242" s="4"/>
      <c r="L242" s="4"/>
      <c r="BW242"/>
      <c r="BX242"/>
      <c r="BY242"/>
      <c r="BZ242"/>
      <c r="CA242"/>
      <c r="CB242"/>
    </row>
    <row r="243" spans="10:80" x14ac:dyDescent="0.4">
      <c r="J243" s="4"/>
      <c r="K243" s="4"/>
      <c r="L243" s="4"/>
      <c r="BW243"/>
      <c r="BX243"/>
      <c r="BY243"/>
      <c r="BZ243"/>
      <c r="CA243"/>
      <c r="CB243"/>
    </row>
    <row r="244" spans="10:80" x14ac:dyDescent="0.4">
      <c r="J244" s="4"/>
      <c r="K244" s="4"/>
      <c r="L244" s="4"/>
      <c r="BW244"/>
      <c r="BX244"/>
      <c r="BY244"/>
      <c r="BZ244"/>
      <c r="CA244"/>
      <c r="CB244"/>
    </row>
    <row r="245" spans="10:80" x14ac:dyDescent="0.4">
      <c r="J245" s="4"/>
      <c r="K245" s="4"/>
      <c r="L245" s="4"/>
      <c r="BW245"/>
      <c r="BX245"/>
      <c r="BY245"/>
      <c r="BZ245"/>
      <c r="CA245"/>
      <c r="CB245"/>
    </row>
    <row r="246" spans="10:80" x14ac:dyDescent="0.4">
      <c r="J246" s="4"/>
      <c r="K246" s="4"/>
      <c r="L246" s="4"/>
      <c r="BW246"/>
      <c r="BX246"/>
      <c r="BY246"/>
      <c r="BZ246"/>
      <c r="CA246"/>
      <c r="CB246"/>
    </row>
    <row r="247" spans="10:80" x14ac:dyDescent="0.4">
      <c r="J247" s="4"/>
      <c r="K247" s="4"/>
      <c r="L247" s="4"/>
      <c r="BW247"/>
      <c r="BX247"/>
      <c r="BY247"/>
      <c r="BZ247"/>
      <c r="CA247"/>
      <c r="CB247"/>
    </row>
    <row r="248" spans="10:80" x14ac:dyDescent="0.4">
      <c r="J248" s="4"/>
      <c r="K248" s="4"/>
      <c r="L248" s="4"/>
      <c r="BW248"/>
      <c r="BX248"/>
      <c r="BY248"/>
      <c r="BZ248"/>
      <c r="CA248"/>
      <c r="CB248"/>
    </row>
    <row r="249" spans="10:80" x14ac:dyDescent="0.4">
      <c r="J249" s="4"/>
      <c r="K249" s="4"/>
      <c r="L249" s="4"/>
      <c r="BW249"/>
      <c r="BX249"/>
      <c r="BY249"/>
      <c r="BZ249"/>
      <c r="CA249"/>
      <c r="CB249"/>
    </row>
    <row r="250" spans="10:80" x14ac:dyDescent="0.4">
      <c r="J250" s="4"/>
      <c r="K250" s="4"/>
      <c r="L250" s="4"/>
      <c r="BW250"/>
      <c r="BX250"/>
      <c r="BY250"/>
      <c r="BZ250"/>
      <c r="CA250"/>
      <c r="CB250"/>
    </row>
    <row r="251" spans="10:80" x14ac:dyDescent="0.4">
      <c r="J251" s="4"/>
      <c r="K251" s="4"/>
      <c r="L251" s="4"/>
      <c r="BW251"/>
      <c r="BX251"/>
      <c r="BY251"/>
      <c r="BZ251"/>
      <c r="CA251"/>
      <c r="CB251"/>
    </row>
    <row r="252" spans="10:80" x14ac:dyDescent="0.4">
      <c r="J252" s="4"/>
      <c r="K252" s="4"/>
      <c r="L252" s="4"/>
      <c r="BW252"/>
      <c r="BX252"/>
      <c r="BY252"/>
      <c r="BZ252"/>
      <c r="CA252"/>
      <c r="CB252"/>
    </row>
    <row r="253" spans="10:80" x14ac:dyDescent="0.4">
      <c r="J253" s="4"/>
      <c r="K253" s="4"/>
      <c r="L253" s="4"/>
      <c r="BW253"/>
      <c r="BX253"/>
      <c r="BY253"/>
      <c r="BZ253"/>
      <c r="CA253"/>
      <c r="CB253"/>
    </row>
    <row r="254" spans="10:80" x14ac:dyDescent="0.4">
      <c r="J254" s="4"/>
      <c r="K254" s="4"/>
      <c r="L254" s="4"/>
      <c r="BW254"/>
      <c r="BX254"/>
      <c r="BY254"/>
      <c r="BZ254"/>
      <c r="CA254"/>
      <c r="CB254"/>
    </row>
    <row r="255" spans="10:80" x14ac:dyDescent="0.4">
      <c r="J255" s="4"/>
      <c r="K255" s="4"/>
      <c r="L255" s="4"/>
      <c r="BW255"/>
      <c r="BX255"/>
      <c r="BY255"/>
      <c r="BZ255"/>
      <c r="CA255"/>
      <c r="CB255"/>
    </row>
    <row r="256" spans="10:80" x14ac:dyDescent="0.4">
      <c r="J256" s="4"/>
      <c r="K256" s="4"/>
      <c r="L256" s="4"/>
      <c r="BW256"/>
      <c r="BX256"/>
      <c r="BY256"/>
      <c r="BZ256"/>
      <c r="CA256"/>
      <c r="CB256"/>
    </row>
    <row r="257" spans="10:80" x14ac:dyDescent="0.4">
      <c r="J257" s="4"/>
      <c r="K257" s="4"/>
      <c r="L257" s="4"/>
      <c r="BW257"/>
      <c r="BX257"/>
      <c r="BY257"/>
      <c r="BZ257"/>
      <c r="CA257"/>
      <c r="CB257"/>
    </row>
    <row r="258" spans="10:80" x14ac:dyDescent="0.4">
      <c r="J258" s="4"/>
      <c r="K258" s="4"/>
      <c r="L258" s="4"/>
      <c r="BW258"/>
      <c r="BX258"/>
      <c r="BY258"/>
      <c r="BZ258"/>
      <c r="CA258"/>
      <c r="CB258"/>
    </row>
    <row r="259" spans="10:80" x14ac:dyDescent="0.4">
      <c r="J259" s="4"/>
      <c r="K259" s="4"/>
      <c r="L259" s="4"/>
      <c r="BW259"/>
      <c r="BX259"/>
      <c r="BY259"/>
      <c r="BZ259"/>
      <c r="CA259"/>
      <c r="CB259"/>
    </row>
    <row r="260" spans="10:80" x14ac:dyDescent="0.4">
      <c r="J260" s="4"/>
      <c r="K260" s="4"/>
      <c r="L260" s="4"/>
      <c r="BW260"/>
      <c r="BX260"/>
      <c r="BY260"/>
      <c r="BZ260"/>
      <c r="CA260"/>
      <c r="CB260"/>
    </row>
    <row r="261" spans="10:80" x14ac:dyDescent="0.4">
      <c r="J261" s="4"/>
      <c r="K261" s="4"/>
      <c r="L261" s="4"/>
      <c r="BW261"/>
      <c r="BX261"/>
      <c r="BY261"/>
      <c r="BZ261"/>
      <c r="CA261"/>
      <c r="CB261"/>
    </row>
    <row r="262" spans="10:80" x14ac:dyDescent="0.4">
      <c r="J262" s="4"/>
      <c r="K262" s="4"/>
      <c r="L262" s="4"/>
      <c r="BW262"/>
      <c r="BX262"/>
      <c r="BY262"/>
      <c r="BZ262"/>
      <c r="CA262"/>
      <c r="CB262"/>
    </row>
    <row r="263" spans="10:80" x14ac:dyDescent="0.4">
      <c r="J263" s="4"/>
      <c r="K263" s="4"/>
      <c r="L263" s="4"/>
      <c r="BW263"/>
      <c r="BX263"/>
      <c r="BY263"/>
      <c r="BZ263"/>
      <c r="CA263"/>
      <c r="CB263"/>
    </row>
    <row r="264" spans="10:80" x14ac:dyDescent="0.4">
      <c r="J264" s="4"/>
      <c r="K264" s="4"/>
      <c r="L264" s="4"/>
      <c r="BW264"/>
      <c r="BX264"/>
      <c r="BY264"/>
      <c r="BZ264"/>
      <c r="CA264"/>
      <c r="CB264"/>
    </row>
    <row r="265" spans="10:80" x14ac:dyDescent="0.4">
      <c r="J265" s="4"/>
      <c r="K265" s="4"/>
      <c r="L265" s="4"/>
      <c r="BW265"/>
      <c r="BX265"/>
      <c r="BY265"/>
      <c r="BZ265"/>
      <c r="CA265"/>
      <c r="CB265"/>
    </row>
    <row r="266" spans="10:80" x14ac:dyDescent="0.4">
      <c r="J266" s="4"/>
      <c r="K266" s="4"/>
      <c r="L266" s="4"/>
      <c r="BW266"/>
      <c r="BX266"/>
      <c r="BY266"/>
      <c r="BZ266"/>
      <c r="CA266"/>
      <c r="CB266"/>
    </row>
    <row r="267" spans="10:80" x14ac:dyDescent="0.4">
      <c r="J267" s="4"/>
      <c r="K267" s="4"/>
      <c r="L267" s="4"/>
      <c r="BW267"/>
      <c r="BX267"/>
      <c r="BY267"/>
      <c r="BZ267"/>
      <c r="CA267"/>
      <c r="CB267"/>
    </row>
    <row r="268" spans="10:80" x14ac:dyDescent="0.4">
      <c r="J268" s="4"/>
      <c r="K268" s="4"/>
      <c r="L268" s="4"/>
      <c r="BW268"/>
      <c r="BX268"/>
      <c r="BY268"/>
      <c r="BZ268"/>
      <c r="CA268"/>
      <c r="CB268"/>
    </row>
    <row r="269" spans="10:80" x14ac:dyDescent="0.4">
      <c r="J269" s="4"/>
      <c r="K269" s="4"/>
      <c r="L269" s="4"/>
      <c r="BW269"/>
      <c r="BX269"/>
      <c r="BY269"/>
      <c r="BZ269"/>
      <c r="CA269"/>
      <c r="CB269"/>
    </row>
    <row r="270" spans="10:80" x14ac:dyDescent="0.4">
      <c r="J270" s="4"/>
      <c r="K270" s="4"/>
      <c r="L270" s="4"/>
      <c r="BW270"/>
      <c r="BX270"/>
      <c r="BY270"/>
      <c r="BZ270"/>
      <c r="CA270"/>
      <c r="CB270"/>
    </row>
    <row r="271" spans="10:80" x14ac:dyDescent="0.4">
      <c r="J271" s="4"/>
      <c r="K271" s="4"/>
      <c r="L271" s="4"/>
      <c r="BW271"/>
      <c r="BX271"/>
      <c r="BY271"/>
      <c r="BZ271"/>
      <c r="CA271"/>
      <c r="CB271"/>
    </row>
    <row r="272" spans="10:80" x14ac:dyDescent="0.4">
      <c r="J272" s="4"/>
      <c r="K272" s="4"/>
      <c r="L272" s="4"/>
      <c r="BW272"/>
      <c r="BX272"/>
      <c r="BY272"/>
      <c r="BZ272"/>
      <c r="CA272"/>
      <c r="CB272"/>
    </row>
    <row r="273" spans="10:80" x14ac:dyDescent="0.4">
      <c r="J273" s="4"/>
      <c r="K273" s="4"/>
      <c r="L273" s="4"/>
      <c r="BW273"/>
      <c r="BX273"/>
      <c r="BY273"/>
      <c r="BZ273"/>
      <c r="CA273"/>
      <c r="CB273"/>
    </row>
    <row r="274" spans="10:80" x14ac:dyDescent="0.4">
      <c r="J274" s="4"/>
      <c r="K274" s="4"/>
      <c r="L274" s="4"/>
      <c r="BW274"/>
      <c r="BX274"/>
      <c r="BY274"/>
      <c r="BZ274"/>
      <c r="CA274"/>
      <c r="CB274"/>
    </row>
    <row r="275" spans="10:80" x14ac:dyDescent="0.4">
      <c r="J275" s="4"/>
      <c r="K275" s="4"/>
      <c r="L275" s="4"/>
      <c r="BW275"/>
      <c r="BX275"/>
      <c r="BY275"/>
      <c r="BZ275"/>
      <c r="CA275"/>
      <c r="CB275"/>
    </row>
    <row r="276" spans="10:80" x14ac:dyDescent="0.4">
      <c r="J276" s="4"/>
      <c r="K276" s="4"/>
      <c r="L276" s="4"/>
      <c r="BW276"/>
      <c r="BX276"/>
      <c r="BY276"/>
      <c r="BZ276"/>
      <c r="CA276"/>
      <c r="CB276"/>
    </row>
    <row r="277" spans="10:80" x14ac:dyDescent="0.4">
      <c r="J277" s="4"/>
      <c r="K277" s="4"/>
      <c r="L277" s="4"/>
      <c r="BW277"/>
      <c r="BX277"/>
      <c r="BY277"/>
      <c r="BZ277"/>
      <c r="CA277"/>
      <c r="CB277"/>
    </row>
    <row r="278" spans="10:80" x14ac:dyDescent="0.4">
      <c r="J278" s="4"/>
      <c r="K278" s="4"/>
      <c r="L278" s="4"/>
      <c r="BW278"/>
      <c r="BX278"/>
      <c r="BY278"/>
      <c r="BZ278"/>
      <c r="CA278"/>
      <c r="CB278"/>
    </row>
    <row r="279" spans="10:80" x14ac:dyDescent="0.4">
      <c r="J279" s="4"/>
      <c r="K279" s="4"/>
      <c r="L279" s="4"/>
      <c r="BW279"/>
      <c r="BX279"/>
      <c r="BY279"/>
      <c r="BZ279"/>
      <c r="CA279"/>
      <c r="CB279"/>
    </row>
    <row r="280" spans="10:80" x14ac:dyDescent="0.4">
      <c r="J280" s="4"/>
      <c r="K280" s="4"/>
      <c r="L280" s="4"/>
      <c r="BW280"/>
      <c r="BX280"/>
      <c r="BY280"/>
      <c r="BZ280"/>
      <c r="CA280"/>
      <c r="CB280"/>
    </row>
    <row r="281" spans="10:80" x14ac:dyDescent="0.4">
      <c r="J281" s="4"/>
      <c r="K281" s="4"/>
      <c r="L281" s="4"/>
      <c r="BW281"/>
      <c r="BX281"/>
      <c r="BY281"/>
      <c r="BZ281"/>
      <c r="CA281"/>
      <c r="CB281"/>
    </row>
    <row r="282" spans="10:80" x14ac:dyDescent="0.4">
      <c r="J282" s="4"/>
      <c r="K282" s="4"/>
      <c r="L282" s="4"/>
      <c r="BW282"/>
      <c r="BX282"/>
      <c r="BY282"/>
      <c r="BZ282"/>
      <c r="CA282"/>
      <c r="CB282"/>
    </row>
    <row r="283" spans="10:80" x14ac:dyDescent="0.4">
      <c r="J283" s="4"/>
      <c r="K283" s="4"/>
      <c r="L283" s="4"/>
      <c r="BW283"/>
      <c r="BX283"/>
      <c r="BY283"/>
      <c r="BZ283"/>
      <c r="CA283"/>
      <c r="CB283"/>
    </row>
    <row r="284" spans="10:80" x14ac:dyDescent="0.4">
      <c r="J284" s="4"/>
      <c r="K284" s="4"/>
      <c r="L284" s="4"/>
      <c r="BW284"/>
      <c r="BX284"/>
      <c r="BY284"/>
      <c r="BZ284"/>
      <c r="CA284"/>
      <c r="CB284"/>
    </row>
    <row r="285" spans="10:80" x14ac:dyDescent="0.4">
      <c r="J285" s="4"/>
      <c r="K285" s="4"/>
      <c r="L285" s="4"/>
      <c r="BW285"/>
      <c r="BX285"/>
      <c r="BY285"/>
      <c r="BZ285"/>
      <c r="CA285"/>
      <c r="CB285"/>
    </row>
    <row r="286" spans="10:80" x14ac:dyDescent="0.4">
      <c r="J286" s="4"/>
      <c r="K286" s="4"/>
      <c r="L286" s="4"/>
      <c r="BW286"/>
      <c r="BX286"/>
      <c r="BY286"/>
      <c r="BZ286"/>
      <c r="CA286"/>
      <c r="CB286"/>
    </row>
    <row r="287" spans="10:80" x14ac:dyDescent="0.4">
      <c r="J287" s="4"/>
      <c r="K287" s="4"/>
      <c r="L287" s="4"/>
      <c r="BW287"/>
      <c r="BX287"/>
      <c r="BY287"/>
      <c r="BZ287"/>
      <c r="CA287"/>
      <c r="CB287"/>
    </row>
    <row r="288" spans="10:80" x14ac:dyDescent="0.4">
      <c r="J288" s="4"/>
      <c r="K288" s="4"/>
      <c r="L288" s="4"/>
      <c r="BW288"/>
      <c r="BX288"/>
      <c r="BY288"/>
      <c r="BZ288"/>
      <c r="CA288"/>
      <c r="CB288"/>
    </row>
    <row r="289" spans="10:80" x14ac:dyDescent="0.4">
      <c r="J289" s="4"/>
      <c r="K289" s="4"/>
      <c r="L289" s="4"/>
      <c r="BW289"/>
      <c r="BX289"/>
      <c r="BY289"/>
      <c r="BZ289"/>
      <c r="CA289"/>
      <c r="CB289"/>
    </row>
    <row r="290" spans="10:80" x14ac:dyDescent="0.4">
      <c r="J290" s="4"/>
      <c r="K290" s="4"/>
      <c r="L290" s="4"/>
      <c r="BW290"/>
      <c r="BX290"/>
      <c r="BY290"/>
      <c r="BZ290"/>
      <c r="CA290"/>
      <c r="CB290"/>
    </row>
    <row r="291" spans="10:80" x14ac:dyDescent="0.4">
      <c r="J291" s="4"/>
      <c r="K291" s="4"/>
      <c r="L291" s="4"/>
      <c r="BW291"/>
      <c r="BX291"/>
      <c r="BY291"/>
      <c r="BZ291"/>
      <c r="CA291"/>
      <c r="CB291"/>
    </row>
    <row r="292" spans="10:80" x14ac:dyDescent="0.4">
      <c r="J292" s="4"/>
      <c r="K292" s="4"/>
      <c r="L292" s="4"/>
      <c r="BW292"/>
      <c r="BX292"/>
      <c r="BY292"/>
      <c r="BZ292"/>
      <c r="CA292"/>
      <c r="CB292"/>
    </row>
    <row r="293" spans="10:80" x14ac:dyDescent="0.4">
      <c r="J293" s="4"/>
      <c r="K293" s="4"/>
      <c r="L293" s="4"/>
      <c r="BW293"/>
      <c r="BX293"/>
      <c r="BY293"/>
      <c r="BZ293"/>
      <c r="CA293"/>
      <c r="CB293"/>
    </row>
    <row r="294" spans="10:80" x14ac:dyDescent="0.4">
      <c r="J294" s="4"/>
      <c r="K294" s="4"/>
      <c r="L294" s="4"/>
      <c r="BW294"/>
      <c r="BX294"/>
      <c r="BY294"/>
      <c r="BZ294"/>
      <c r="CA294"/>
      <c r="CB294"/>
    </row>
    <row r="295" spans="10:80" x14ac:dyDescent="0.4">
      <c r="J295" s="4"/>
      <c r="K295" s="4"/>
      <c r="L295" s="4"/>
      <c r="BW295"/>
      <c r="BX295"/>
      <c r="BY295"/>
      <c r="BZ295"/>
      <c r="CA295"/>
      <c r="CB295"/>
    </row>
    <row r="296" spans="10:80" x14ac:dyDescent="0.4">
      <c r="J296" s="4"/>
      <c r="K296" s="4"/>
      <c r="L296" s="4"/>
      <c r="BW296"/>
      <c r="BX296"/>
      <c r="BY296"/>
      <c r="BZ296"/>
      <c r="CA296"/>
      <c r="CB296"/>
    </row>
    <row r="297" spans="10:80" x14ac:dyDescent="0.4">
      <c r="J297" s="4"/>
      <c r="K297" s="4"/>
      <c r="L297" s="4"/>
      <c r="BW297"/>
      <c r="BX297"/>
      <c r="BY297"/>
      <c r="BZ297"/>
      <c r="CA297"/>
      <c r="CB297"/>
    </row>
    <row r="298" spans="10:80" x14ac:dyDescent="0.4">
      <c r="J298" s="4"/>
      <c r="K298" s="4"/>
      <c r="L298" s="4"/>
      <c r="BW298"/>
      <c r="BX298"/>
      <c r="BY298"/>
      <c r="BZ298"/>
      <c r="CA298"/>
      <c r="CB298"/>
    </row>
    <row r="299" spans="10:80" x14ac:dyDescent="0.4">
      <c r="J299" s="4"/>
      <c r="K299" s="4"/>
      <c r="L299" s="4"/>
      <c r="BW299"/>
      <c r="BX299"/>
      <c r="BY299"/>
      <c r="BZ299"/>
      <c r="CA299"/>
      <c r="CB299"/>
    </row>
    <row r="300" spans="10:80" x14ac:dyDescent="0.4">
      <c r="J300" s="4"/>
      <c r="K300" s="4"/>
      <c r="L300" s="4"/>
      <c r="BW300"/>
      <c r="BX300"/>
      <c r="BY300"/>
      <c r="BZ300"/>
      <c r="CA300"/>
      <c r="CB300"/>
    </row>
    <row r="301" spans="10:80" x14ac:dyDescent="0.4">
      <c r="J301" s="4"/>
      <c r="K301" s="4"/>
      <c r="L301" s="4"/>
      <c r="BW301"/>
      <c r="BX301"/>
      <c r="BY301"/>
      <c r="BZ301"/>
      <c r="CA301"/>
      <c r="CB301"/>
    </row>
    <row r="302" spans="10:80" x14ac:dyDescent="0.4">
      <c r="J302" s="4"/>
      <c r="K302" s="4"/>
      <c r="L302" s="4"/>
      <c r="BW302"/>
      <c r="BX302"/>
      <c r="BY302"/>
      <c r="BZ302"/>
      <c r="CA302"/>
      <c r="CB302"/>
    </row>
    <row r="303" spans="10:80" x14ac:dyDescent="0.4">
      <c r="J303" s="4"/>
      <c r="K303" s="4"/>
      <c r="L303" s="4"/>
      <c r="BW303"/>
      <c r="BX303"/>
      <c r="BY303"/>
      <c r="BZ303"/>
      <c r="CA303"/>
      <c r="CB303"/>
    </row>
    <row r="304" spans="10:80" x14ac:dyDescent="0.4">
      <c r="J304" s="4"/>
      <c r="K304" s="4"/>
      <c r="L304" s="4"/>
      <c r="BW304"/>
      <c r="BX304"/>
      <c r="BY304"/>
      <c r="BZ304"/>
      <c r="CA304"/>
      <c r="CB304"/>
    </row>
    <row r="305" spans="10:80" x14ac:dyDescent="0.4">
      <c r="J305" s="4"/>
      <c r="K305" s="4"/>
      <c r="L305" s="4"/>
      <c r="BW305"/>
      <c r="BX305"/>
      <c r="BY305"/>
      <c r="BZ305"/>
      <c r="CA305"/>
      <c r="CB305"/>
    </row>
    <row r="306" spans="10:80" x14ac:dyDescent="0.4">
      <c r="J306" s="4"/>
      <c r="K306" s="4"/>
      <c r="L306" s="4"/>
      <c r="BW306"/>
      <c r="BX306"/>
      <c r="BY306"/>
      <c r="BZ306"/>
      <c r="CA306"/>
      <c r="CB306"/>
    </row>
    <row r="307" spans="10:80" x14ac:dyDescent="0.4">
      <c r="J307" s="4"/>
      <c r="K307" s="4"/>
      <c r="L307" s="4"/>
      <c r="BW307"/>
      <c r="BX307"/>
      <c r="BY307"/>
      <c r="BZ307"/>
      <c r="CA307"/>
      <c r="CB307"/>
    </row>
    <row r="308" spans="10:80" x14ac:dyDescent="0.4">
      <c r="J308" s="4"/>
      <c r="K308" s="4"/>
      <c r="L308" s="4"/>
      <c r="BW308"/>
      <c r="BX308"/>
      <c r="BY308"/>
      <c r="BZ308"/>
      <c r="CA308"/>
      <c r="CB308"/>
    </row>
    <row r="309" spans="10:80" x14ac:dyDescent="0.4">
      <c r="J309" s="4"/>
      <c r="K309" s="4"/>
      <c r="L309" s="4"/>
      <c r="BW309"/>
      <c r="BX309"/>
      <c r="BY309"/>
      <c r="BZ309"/>
      <c r="CA309"/>
      <c r="CB309"/>
    </row>
    <row r="310" spans="10:80" x14ac:dyDescent="0.4">
      <c r="J310" s="4"/>
      <c r="K310" s="4"/>
      <c r="L310" s="4"/>
      <c r="BW310"/>
      <c r="BX310"/>
      <c r="BY310"/>
      <c r="BZ310"/>
      <c r="CA310"/>
      <c r="CB310"/>
    </row>
    <row r="311" spans="10:80" x14ac:dyDescent="0.4">
      <c r="J311" s="4"/>
      <c r="K311" s="4"/>
      <c r="L311" s="4"/>
      <c r="BW311"/>
      <c r="BX311"/>
      <c r="BY311"/>
      <c r="BZ311"/>
      <c r="CA311"/>
      <c r="CB311"/>
    </row>
    <row r="312" spans="10:80" x14ac:dyDescent="0.4">
      <c r="J312" s="4"/>
      <c r="K312" s="4"/>
      <c r="L312" s="4"/>
      <c r="BW312"/>
      <c r="BX312"/>
      <c r="BY312"/>
      <c r="BZ312"/>
      <c r="CA312"/>
      <c r="CB312"/>
    </row>
    <row r="313" spans="10:80" x14ac:dyDescent="0.4">
      <c r="J313" s="4"/>
      <c r="K313" s="4"/>
      <c r="L313" s="4"/>
      <c r="BW313"/>
      <c r="BX313"/>
      <c r="BY313"/>
      <c r="BZ313"/>
      <c r="CA313"/>
      <c r="CB313"/>
    </row>
    <row r="314" spans="10:80" x14ac:dyDescent="0.4">
      <c r="J314" s="4"/>
      <c r="K314" s="4"/>
      <c r="L314" s="4"/>
      <c r="BW314"/>
      <c r="BX314"/>
      <c r="BY314"/>
      <c r="BZ314"/>
      <c r="CA314"/>
      <c r="CB314"/>
    </row>
    <row r="315" spans="10:80" x14ac:dyDescent="0.4">
      <c r="J315" s="4"/>
      <c r="K315" s="4"/>
      <c r="L315" s="4"/>
      <c r="BW315"/>
      <c r="BX315"/>
      <c r="BY315"/>
      <c r="BZ315"/>
      <c r="CA315"/>
      <c r="CB315"/>
    </row>
    <row r="316" spans="10:80" x14ac:dyDescent="0.4">
      <c r="J316" s="4"/>
      <c r="K316" s="4"/>
      <c r="L316" s="4"/>
      <c r="BW316"/>
      <c r="BX316"/>
      <c r="BY316"/>
      <c r="BZ316"/>
      <c r="CA316"/>
      <c r="CB316"/>
    </row>
    <row r="317" spans="10:80" x14ac:dyDescent="0.4">
      <c r="J317" s="4"/>
      <c r="K317" s="4"/>
      <c r="L317" s="4"/>
      <c r="BW317"/>
      <c r="BX317"/>
      <c r="BY317"/>
      <c r="BZ317"/>
      <c r="CA317"/>
      <c r="CB317"/>
    </row>
    <row r="318" spans="10:80" x14ac:dyDescent="0.4">
      <c r="J318" s="4"/>
      <c r="K318" s="4"/>
      <c r="L318" s="4"/>
      <c r="BW318"/>
      <c r="BX318"/>
      <c r="BY318"/>
      <c r="BZ318"/>
      <c r="CA318"/>
      <c r="CB318"/>
    </row>
    <row r="319" spans="10:80" x14ac:dyDescent="0.4">
      <c r="J319" s="4"/>
      <c r="K319" s="4"/>
      <c r="L319" s="4"/>
      <c r="BW319"/>
      <c r="BX319"/>
      <c r="BY319"/>
      <c r="BZ319"/>
      <c r="CA319"/>
      <c r="CB319"/>
    </row>
    <row r="320" spans="10:80" x14ac:dyDescent="0.4">
      <c r="J320" s="4"/>
      <c r="K320" s="4"/>
      <c r="L320" s="4"/>
      <c r="BW320"/>
      <c r="BX320"/>
      <c r="BY320"/>
      <c r="BZ320"/>
      <c r="CA320"/>
      <c r="CB320"/>
    </row>
    <row r="321" spans="10:80" x14ac:dyDescent="0.4">
      <c r="J321" s="4"/>
      <c r="K321" s="4"/>
      <c r="L321" s="4"/>
      <c r="BW321"/>
      <c r="BX321"/>
      <c r="BY321"/>
      <c r="BZ321"/>
      <c r="CA321"/>
      <c r="CB321"/>
    </row>
    <row r="322" spans="10:80" x14ac:dyDescent="0.4">
      <c r="J322" s="4"/>
      <c r="K322" s="4"/>
      <c r="L322" s="4"/>
      <c r="BW322"/>
      <c r="BX322"/>
      <c r="BY322"/>
      <c r="BZ322"/>
      <c r="CA322"/>
      <c r="CB322"/>
    </row>
    <row r="323" spans="10:80" x14ac:dyDescent="0.4">
      <c r="J323" s="4"/>
      <c r="K323" s="4"/>
      <c r="L323" s="4"/>
      <c r="BW323"/>
      <c r="BX323"/>
      <c r="BY323"/>
      <c r="BZ323"/>
      <c r="CA323"/>
      <c r="CB323"/>
    </row>
    <row r="324" spans="10:80" x14ac:dyDescent="0.4">
      <c r="J324" s="4"/>
      <c r="K324" s="4"/>
      <c r="L324" s="4"/>
      <c r="BW324"/>
      <c r="BX324"/>
      <c r="BY324"/>
      <c r="BZ324"/>
      <c r="CA324"/>
      <c r="CB324"/>
    </row>
    <row r="325" spans="10:80" x14ac:dyDescent="0.4">
      <c r="J325" s="4"/>
      <c r="K325" s="4"/>
      <c r="L325" s="4"/>
      <c r="BW325"/>
      <c r="BX325"/>
      <c r="BY325"/>
      <c r="BZ325"/>
      <c r="CA325"/>
      <c r="CB325"/>
    </row>
    <row r="326" spans="10:80" x14ac:dyDescent="0.4">
      <c r="J326" s="4"/>
      <c r="K326" s="4"/>
      <c r="L326" s="4"/>
      <c r="BW326"/>
      <c r="BX326"/>
      <c r="BY326"/>
      <c r="BZ326"/>
      <c r="CA326"/>
      <c r="CB326"/>
    </row>
    <row r="327" spans="10:80" x14ac:dyDescent="0.4">
      <c r="J327" s="4"/>
      <c r="K327" s="4"/>
      <c r="L327" s="4"/>
      <c r="BW327"/>
      <c r="BX327"/>
      <c r="BY327"/>
      <c r="BZ327"/>
      <c r="CA327"/>
      <c r="CB327"/>
    </row>
    <row r="328" spans="10:80" x14ac:dyDescent="0.4">
      <c r="J328" s="4"/>
      <c r="K328" s="4"/>
      <c r="L328" s="4"/>
      <c r="BW328"/>
      <c r="BX328"/>
      <c r="BY328"/>
      <c r="BZ328"/>
      <c r="CA328"/>
      <c r="CB328"/>
    </row>
    <row r="329" spans="10:80" x14ac:dyDescent="0.4">
      <c r="J329" s="4"/>
      <c r="K329" s="4"/>
      <c r="L329" s="4"/>
      <c r="BW329"/>
      <c r="BX329"/>
      <c r="BY329"/>
      <c r="BZ329"/>
      <c r="CA329"/>
      <c r="CB329"/>
    </row>
    <row r="330" spans="10:80" x14ac:dyDescent="0.4">
      <c r="J330" s="4"/>
      <c r="K330" s="4"/>
      <c r="L330" s="4"/>
      <c r="BW330"/>
      <c r="BX330"/>
      <c r="BY330"/>
      <c r="BZ330"/>
      <c r="CA330"/>
      <c r="CB330"/>
    </row>
    <row r="331" spans="10:80" x14ac:dyDescent="0.4">
      <c r="J331" s="4"/>
      <c r="K331" s="4"/>
      <c r="L331" s="4"/>
      <c r="BW331"/>
      <c r="BX331"/>
      <c r="BY331"/>
      <c r="BZ331"/>
      <c r="CA331"/>
      <c r="CB331"/>
    </row>
    <row r="332" spans="10:80" x14ac:dyDescent="0.4">
      <c r="J332" s="4"/>
      <c r="K332" s="4"/>
      <c r="L332" s="4"/>
      <c r="BW332"/>
      <c r="BX332"/>
      <c r="BY332"/>
      <c r="BZ332"/>
      <c r="CA332"/>
      <c r="CB332"/>
    </row>
    <row r="333" spans="10:80" x14ac:dyDescent="0.4">
      <c r="J333" s="4"/>
      <c r="K333" s="4"/>
      <c r="L333" s="4"/>
      <c r="BW333"/>
      <c r="BX333"/>
      <c r="BY333"/>
      <c r="BZ333"/>
      <c r="CA333"/>
      <c r="CB333"/>
    </row>
    <row r="334" spans="10:80" x14ac:dyDescent="0.4">
      <c r="J334" s="4"/>
      <c r="K334" s="4"/>
      <c r="L334" s="4"/>
      <c r="BW334"/>
      <c r="BX334"/>
      <c r="BY334"/>
      <c r="BZ334"/>
      <c r="CA334"/>
      <c r="CB334"/>
    </row>
    <row r="335" spans="10:80" x14ac:dyDescent="0.4">
      <c r="J335" s="4"/>
      <c r="K335" s="4"/>
      <c r="L335" s="4"/>
      <c r="BW335"/>
      <c r="BX335"/>
      <c r="BY335"/>
      <c r="BZ335"/>
      <c r="CA335"/>
      <c r="CB335"/>
    </row>
    <row r="336" spans="10:80" x14ac:dyDescent="0.4">
      <c r="J336" s="4"/>
      <c r="K336" s="4"/>
      <c r="L336" s="4"/>
      <c r="BW336"/>
      <c r="BX336"/>
      <c r="BY336"/>
      <c r="BZ336"/>
      <c r="CA336"/>
      <c r="CB336"/>
    </row>
    <row r="337" spans="10:80" x14ac:dyDescent="0.4">
      <c r="J337" s="4"/>
      <c r="K337" s="4"/>
      <c r="L337" s="4"/>
      <c r="BW337"/>
      <c r="BX337"/>
      <c r="BY337"/>
      <c r="BZ337"/>
      <c r="CA337"/>
      <c r="CB337"/>
    </row>
    <row r="338" spans="10:80" x14ac:dyDescent="0.4">
      <c r="J338" s="4"/>
      <c r="K338" s="4"/>
      <c r="L338" s="4"/>
      <c r="BW338"/>
      <c r="BX338"/>
      <c r="BY338"/>
      <c r="BZ338"/>
      <c r="CA338"/>
      <c r="CB338"/>
    </row>
    <row r="339" spans="10:80" x14ac:dyDescent="0.4">
      <c r="J339" s="4"/>
      <c r="K339" s="4"/>
      <c r="L339" s="4"/>
      <c r="BW339"/>
      <c r="BX339"/>
      <c r="BY339"/>
      <c r="BZ339"/>
      <c r="CA339"/>
      <c r="CB339"/>
    </row>
    <row r="340" spans="10:80" x14ac:dyDescent="0.4">
      <c r="J340" s="4"/>
      <c r="K340" s="4"/>
      <c r="L340" s="4"/>
      <c r="BW340"/>
      <c r="BX340"/>
      <c r="BY340"/>
      <c r="BZ340"/>
      <c r="CA340"/>
      <c r="CB340"/>
    </row>
    <row r="341" spans="10:80" x14ac:dyDescent="0.4">
      <c r="J341" s="4"/>
      <c r="K341" s="4"/>
      <c r="L341" s="4"/>
      <c r="BW341"/>
      <c r="BX341"/>
      <c r="BY341"/>
      <c r="BZ341"/>
      <c r="CA341"/>
      <c r="CB341"/>
    </row>
    <row r="342" spans="10:80" x14ac:dyDescent="0.4">
      <c r="J342" s="4"/>
      <c r="K342" s="4"/>
      <c r="L342" s="4"/>
      <c r="BW342"/>
      <c r="BX342"/>
      <c r="BY342"/>
      <c r="BZ342"/>
      <c r="CA342"/>
      <c r="CB342"/>
    </row>
    <row r="343" spans="10:80" x14ac:dyDescent="0.4">
      <c r="J343" s="4"/>
      <c r="K343" s="4"/>
      <c r="L343" s="4"/>
      <c r="BW343"/>
      <c r="BX343"/>
      <c r="BY343"/>
      <c r="BZ343"/>
      <c r="CA343"/>
      <c r="CB343"/>
    </row>
    <row r="344" spans="10:80" x14ac:dyDescent="0.4">
      <c r="J344" s="4"/>
      <c r="K344" s="4"/>
      <c r="L344" s="4"/>
      <c r="BW344"/>
      <c r="BX344"/>
      <c r="BY344"/>
      <c r="BZ344"/>
      <c r="CA344"/>
      <c r="CB344"/>
    </row>
    <row r="345" spans="10:80" x14ac:dyDescent="0.4">
      <c r="J345" s="4"/>
      <c r="K345" s="4"/>
      <c r="L345" s="4"/>
      <c r="BW345"/>
      <c r="BX345"/>
      <c r="BY345"/>
      <c r="BZ345"/>
      <c r="CA345"/>
      <c r="CB345"/>
    </row>
    <row r="346" spans="10:80" x14ac:dyDescent="0.4">
      <c r="J346" s="4"/>
      <c r="K346" s="4"/>
      <c r="L346" s="4"/>
      <c r="BW346"/>
      <c r="BX346"/>
      <c r="BY346"/>
      <c r="BZ346"/>
      <c r="CA346"/>
      <c r="CB346"/>
    </row>
    <row r="347" spans="10:80" x14ac:dyDescent="0.4">
      <c r="J347" s="4"/>
      <c r="K347" s="4"/>
      <c r="L347" s="4"/>
      <c r="BW347"/>
      <c r="BX347"/>
      <c r="BY347"/>
      <c r="BZ347"/>
      <c r="CA347"/>
      <c r="CB347"/>
    </row>
    <row r="348" spans="10:80" x14ac:dyDescent="0.4">
      <c r="J348" s="4"/>
      <c r="K348" s="4"/>
      <c r="L348" s="4"/>
      <c r="BW348"/>
      <c r="BX348"/>
      <c r="BY348"/>
      <c r="BZ348"/>
      <c r="CA348"/>
      <c r="CB348"/>
    </row>
    <row r="349" spans="10:80" x14ac:dyDescent="0.4">
      <c r="J349" s="4"/>
      <c r="K349" s="4"/>
      <c r="L349" s="4"/>
      <c r="BW349"/>
      <c r="BX349"/>
      <c r="BY349"/>
      <c r="BZ349"/>
      <c r="CA349"/>
      <c r="CB349"/>
    </row>
    <row r="350" spans="10:80" x14ac:dyDescent="0.4">
      <c r="J350" s="4"/>
      <c r="K350" s="4"/>
      <c r="L350" s="4"/>
      <c r="BW350"/>
      <c r="BX350"/>
      <c r="BY350"/>
      <c r="BZ350"/>
      <c r="CA350"/>
      <c r="CB350"/>
    </row>
    <row r="351" spans="10:80" x14ac:dyDescent="0.4">
      <c r="J351" s="4"/>
      <c r="K351" s="4"/>
      <c r="L351" s="4"/>
      <c r="BW351"/>
      <c r="BX351"/>
      <c r="BY351"/>
      <c r="BZ351"/>
      <c r="CA351"/>
      <c r="CB351"/>
    </row>
    <row r="352" spans="10:80" x14ac:dyDescent="0.4">
      <c r="J352" s="4"/>
      <c r="K352" s="4"/>
      <c r="L352" s="4"/>
      <c r="BW352"/>
      <c r="BX352"/>
      <c r="BY352"/>
      <c r="BZ352"/>
      <c r="CA352"/>
      <c r="CB352"/>
    </row>
    <row r="353" spans="10:80" x14ac:dyDescent="0.4">
      <c r="J353" s="4"/>
      <c r="K353" s="4"/>
      <c r="L353" s="4"/>
      <c r="BW353"/>
      <c r="BX353"/>
      <c r="BY353"/>
      <c r="BZ353"/>
      <c r="CA353"/>
      <c r="CB353"/>
    </row>
    <row r="354" spans="10:80" x14ac:dyDescent="0.4">
      <c r="J354" s="4"/>
      <c r="K354" s="4"/>
      <c r="L354" s="4"/>
      <c r="BW354"/>
      <c r="BX354"/>
      <c r="BY354"/>
      <c r="BZ354"/>
      <c r="CA354"/>
      <c r="CB354"/>
    </row>
    <row r="355" spans="10:80" x14ac:dyDescent="0.4">
      <c r="J355" s="4"/>
      <c r="K355" s="4"/>
      <c r="L355" s="4"/>
      <c r="BW355"/>
      <c r="BX355"/>
      <c r="BY355"/>
      <c r="BZ355"/>
      <c r="CA355"/>
      <c r="CB355"/>
    </row>
    <row r="356" spans="10:80" x14ac:dyDescent="0.4">
      <c r="J356" s="4"/>
      <c r="K356" s="4"/>
      <c r="L356" s="4"/>
      <c r="BW356"/>
      <c r="BX356"/>
      <c r="BY356"/>
      <c r="BZ356"/>
      <c r="CA356"/>
      <c r="CB356"/>
    </row>
    <row r="357" spans="10:80" x14ac:dyDescent="0.4">
      <c r="J357" s="4"/>
      <c r="K357" s="4"/>
      <c r="L357" s="4"/>
      <c r="BW357"/>
      <c r="BX357"/>
      <c r="BY357"/>
      <c r="BZ357"/>
      <c r="CA357"/>
      <c r="CB357"/>
    </row>
    <row r="358" spans="10:80" x14ac:dyDescent="0.4">
      <c r="J358" s="4"/>
      <c r="K358" s="4"/>
      <c r="L358" s="4"/>
      <c r="BW358"/>
      <c r="BX358"/>
      <c r="BY358"/>
      <c r="BZ358"/>
      <c r="CA358"/>
      <c r="CB358"/>
    </row>
    <row r="359" spans="10:80" x14ac:dyDescent="0.4">
      <c r="J359" s="4"/>
      <c r="K359" s="4"/>
      <c r="L359" s="4"/>
      <c r="BW359"/>
      <c r="BX359"/>
      <c r="BY359"/>
      <c r="BZ359"/>
      <c r="CA359"/>
      <c r="CB359"/>
    </row>
    <row r="360" spans="10:80" x14ac:dyDescent="0.4">
      <c r="J360" s="4"/>
      <c r="K360" s="4"/>
      <c r="L360" s="4"/>
      <c r="BW360"/>
      <c r="BX360"/>
      <c r="BY360"/>
      <c r="BZ360"/>
      <c r="CA360"/>
      <c r="CB360"/>
    </row>
    <row r="361" spans="10:80" x14ac:dyDescent="0.4">
      <c r="J361" s="4"/>
      <c r="K361" s="4"/>
      <c r="L361" s="4"/>
      <c r="BW361"/>
      <c r="BX361"/>
      <c r="BY361"/>
      <c r="BZ361"/>
      <c r="CA361"/>
      <c r="CB361"/>
    </row>
    <row r="362" spans="10:80" x14ac:dyDescent="0.4">
      <c r="J362" s="4"/>
      <c r="K362" s="4"/>
      <c r="L362" s="4"/>
      <c r="BW362"/>
      <c r="BX362"/>
      <c r="BY362"/>
      <c r="BZ362"/>
      <c r="CA362"/>
      <c r="CB362"/>
    </row>
    <row r="363" spans="10:80" x14ac:dyDescent="0.4">
      <c r="J363" s="4"/>
      <c r="K363" s="4"/>
      <c r="L363" s="4"/>
      <c r="BW363"/>
      <c r="BX363"/>
      <c r="BY363"/>
      <c r="BZ363"/>
      <c r="CA363"/>
      <c r="CB363"/>
    </row>
    <row r="364" spans="10:80" x14ac:dyDescent="0.4">
      <c r="J364" s="4"/>
      <c r="K364" s="4"/>
      <c r="L364" s="4"/>
      <c r="BW364"/>
      <c r="BX364"/>
      <c r="BY364"/>
      <c r="BZ364"/>
      <c r="CA364"/>
      <c r="CB364"/>
    </row>
    <row r="365" spans="10:80" x14ac:dyDescent="0.4">
      <c r="J365" s="4"/>
      <c r="K365" s="4"/>
      <c r="L365" s="4"/>
      <c r="BW365"/>
      <c r="BX365"/>
      <c r="BY365"/>
      <c r="BZ365"/>
      <c r="CA365"/>
      <c r="CB365"/>
    </row>
    <row r="366" spans="10:80" x14ac:dyDescent="0.4">
      <c r="J366" s="4"/>
      <c r="K366" s="4"/>
      <c r="L366" s="4"/>
      <c r="BW366"/>
      <c r="BX366"/>
      <c r="BY366"/>
      <c r="BZ366"/>
      <c r="CA366"/>
      <c r="CB366"/>
    </row>
    <row r="367" spans="10:80" x14ac:dyDescent="0.4">
      <c r="J367" s="4"/>
      <c r="K367" s="4"/>
      <c r="L367" s="4"/>
      <c r="BW367"/>
      <c r="BX367"/>
      <c r="BY367"/>
      <c r="BZ367"/>
      <c r="CA367"/>
      <c r="CB367"/>
    </row>
    <row r="368" spans="10:80" x14ac:dyDescent="0.4">
      <c r="J368" s="4"/>
      <c r="K368" s="4"/>
      <c r="L368" s="4"/>
      <c r="BW368"/>
      <c r="BX368"/>
      <c r="BY368"/>
      <c r="BZ368"/>
      <c r="CA368"/>
      <c r="CB368"/>
    </row>
    <row r="369" spans="10:80" x14ac:dyDescent="0.4">
      <c r="J369" s="4"/>
      <c r="K369" s="4"/>
      <c r="L369" s="4"/>
      <c r="BW369"/>
      <c r="BX369"/>
      <c r="BY369"/>
      <c r="BZ369"/>
      <c r="CA369"/>
      <c r="CB369"/>
    </row>
    <row r="370" spans="10:80" x14ac:dyDescent="0.4">
      <c r="J370" s="4"/>
      <c r="K370" s="4"/>
      <c r="L370" s="4"/>
      <c r="BW370"/>
      <c r="BX370"/>
      <c r="BY370"/>
      <c r="BZ370"/>
      <c r="CA370"/>
      <c r="CB370"/>
    </row>
    <row r="371" spans="10:80" x14ac:dyDescent="0.4">
      <c r="J371" s="4"/>
      <c r="K371" s="4"/>
      <c r="L371" s="4"/>
      <c r="BW371"/>
      <c r="BX371"/>
      <c r="BY371"/>
      <c r="BZ371"/>
      <c r="CA371"/>
      <c r="CB371"/>
    </row>
    <row r="372" spans="10:80" x14ac:dyDescent="0.4">
      <c r="J372" s="4"/>
      <c r="K372" s="4"/>
      <c r="L372" s="4"/>
      <c r="BW372"/>
      <c r="BX372"/>
      <c r="BY372"/>
      <c r="BZ372"/>
      <c r="CA372"/>
      <c r="CB372"/>
    </row>
    <row r="373" spans="10:80" x14ac:dyDescent="0.4">
      <c r="J373" s="4"/>
      <c r="K373" s="4"/>
      <c r="L373" s="4"/>
      <c r="BW373"/>
      <c r="BX373"/>
      <c r="BY373"/>
      <c r="BZ373"/>
      <c r="CA373"/>
      <c r="CB373"/>
    </row>
    <row r="374" spans="10:80" x14ac:dyDescent="0.4">
      <c r="J374" s="4"/>
      <c r="K374" s="4"/>
      <c r="L374" s="4"/>
      <c r="BW374"/>
      <c r="BX374"/>
      <c r="BY374"/>
      <c r="BZ374"/>
      <c r="CA374"/>
      <c r="CB374"/>
    </row>
    <row r="375" spans="10:80" x14ac:dyDescent="0.4">
      <c r="J375" s="4"/>
      <c r="K375" s="4"/>
      <c r="L375" s="4"/>
      <c r="BW375"/>
      <c r="BX375"/>
      <c r="BY375"/>
      <c r="BZ375"/>
      <c r="CA375"/>
      <c r="CB375"/>
    </row>
    <row r="376" spans="10:80" x14ac:dyDescent="0.4">
      <c r="J376" s="4"/>
      <c r="K376" s="4"/>
      <c r="L376" s="4"/>
      <c r="BW376"/>
      <c r="BX376"/>
      <c r="BY376"/>
      <c r="BZ376"/>
      <c r="CA376"/>
      <c r="CB376"/>
    </row>
    <row r="377" spans="10:80" x14ac:dyDescent="0.4">
      <c r="J377" s="4"/>
      <c r="K377" s="4"/>
      <c r="L377" s="4"/>
      <c r="BW377"/>
      <c r="BX377"/>
      <c r="BY377"/>
      <c r="BZ377"/>
      <c r="CA377"/>
      <c r="CB377"/>
    </row>
    <row r="378" spans="10:80" x14ac:dyDescent="0.4">
      <c r="J378" s="4"/>
      <c r="K378" s="4"/>
      <c r="L378" s="4"/>
      <c r="BW378"/>
      <c r="BX378"/>
      <c r="BY378"/>
      <c r="BZ378"/>
      <c r="CA378"/>
      <c r="CB378"/>
    </row>
    <row r="379" spans="10:80" x14ac:dyDescent="0.4">
      <c r="J379" s="4"/>
      <c r="K379" s="4"/>
      <c r="L379" s="4"/>
      <c r="BW379"/>
      <c r="BX379"/>
      <c r="BY379"/>
      <c r="BZ379"/>
      <c r="CA379"/>
      <c r="CB379"/>
    </row>
    <row r="380" spans="10:80" x14ac:dyDescent="0.4">
      <c r="J380" s="4"/>
      <c r="K380" s="4"/>
      <c r="L380" s="4"/>
      <c r="BW380"/>
      <c r="BX380"/>
      <c r="BY380"/>
      <c r="BZ380"/>
      <c r="CA380"/>
      <c r="CB380"/>
    </row>
    <row r="381" spans="10:80" x14ac:dyDescent="0.4">
      <c r="J381" s="4"/>
      <c r="K381" s="4"/>
      <c r="L381" s="4"/>
      <c r="BW381"/>
      <c r="BX381"/>
      <c r="BY381"/>
      <c r="BZ381"/>
      <c r="CA381"/>
      <c r="CB381"/>
    </row>
    <row r="382" spans="10:80" x14ac:dyDescent="0.4">
      <c r="J382" s="4"/>
      <c r="K382" s="4"/>
      <c r="L382" s="4"/>
      <c r="BW382"/>
      <c r="BX382"/>
      <c r="BY382"/>
      <c r="BZ382"/>
      <c r="CA382"/>
      <c r="CB382"/>
    </row>
    <row r="383" spans="10:80" x14ac:dyDescent="0.4">
      <c r="J383" s="4"/>
      <c r="K383" s="4"/>
      <c r="L383" s="4"/>
      <c r="BW383"/>
      <c r="BX383"/>
      <c r="BY383"/>
      <c r="BZ383"/>
      <c r="CA383"/>
      <c r="CB383"/>
    </row>
    <row r="384" spans="10:80" x14ac:dyDescent="0.4">
      <c r="J384" s="4"/>
      <c r="K384" s="4"/>
      <c r="L384" s="4"/>
      <c r="BW384"/>
      <c r="BX384"/>
      <c r="BY384"/>
      <c r="BZ384"/>
      <c r="CA384"/>
      <c r="CB384"/>
    </row>
    <row r="385" spans="10:80" x14ac:dyDescent="0.4">
      <c r="J385" s="4"/>
      <c r="K385" s="4"/>
      <c r="L385" s="4"/>
      <c r="BW385"/>
      <c r="BX385"/>
      <c r="BY385"/>
      <c r="BZ385"/>
      <c r="CA385"/>
      <c r="CB385"/>
    </row>
    <row r="386" spans="10:80" x14ac:dyDescent="0.4">
      <c r="J386" s="4"/>
      <c r="K386" s="4"/>
      <c r="L386" s="4"/>
      <c r="BW386"/>
      <c r="BX386"/>
      <c r="BY386"/>
      <c r="BZ386"/>
      <c r="CA386"/>
      <c r="CB386"/>
    </row>
    <row r="387" spans="10:80" x14ac:dyDescent="0.4">
      <c r="J387" s="4"/>
      <c r="K387" s="4"/>
      <c r="L387" s="4"/>
      <c r="BW387"/>
      <c r="BX387"/>
      <c r="BY387"/>
      <c r="BZ387"/>
      <c r="CA387"/>
      <c r="CB387"/>
    </row>
    <row r="388" spans="10:80" x14ac:dyDescent="0.4">
      <c r="J388" s="4"/>
      <c r="K388" s="4"/>
      <c r="L388" s="4"/>
      <c r="BW388"/>
      <c r="BX388"/>
      <c r="BY388"/>
      <c r="BZ388"/>
      <c r="CA388"/>
      <c r="CB388"/>
    </row>
    <row r="389" spans="10:80" x14ac:dyDescent="0.4">
      <c r="J389" s="4"/>
      <c r="K389" s="4"/>
      <c r="L389" s="4"/>
      <c r="BW389"/>
      <c r="BX389"/>
      <c r="BY389"/>
      <c r="BZ389"/>
      <c r="CA389"/>
      <c r="CB389"/>
    </row>
    <row r="390" spans="10:80" x14ac:dyDescent="0.4">
      <c r="J390" s="4"/>
      <c r="K390" s="4"/>
      <c r="L390" s="4"/>
      <c r="BW390"/>
      <c r="BX390"/>
      <c r="BY390"/>
      <c r="BZ390"/>
      <c r="CA390"/>
      <c r="CB390"/>
    </row>
    <row r="391" spans="10:80" x14ac:dyDescent="0.4">
      <c r="J391" s="4"/>
      <c r="K391" s="4"/>
      <c r="L391" s="4"/>
      <c r="BW391"/>
      <c r="BX391"/>
      <c r="BY391"/>
      <c r="BZ391"/>
      <c r="CA391"/>
      <c r="CB391"/>
    </row>
    <row r="392" spans="10:80" x14ac:dyDescent="0.4">
      <c r="J392" s="4"/>
      <c r="K392" s="4"/>
      <c r="L392" s="4"/>
      <c r="BW392"/>
      <c r="BX392"/>
      <c r="BY392"/>
      <c r="BZ392"/>
      <c r="CA392"/>
      <c r="CB392"/>
    </row>
    <row r="393" spans="10:80" x14ac:dyDescent="0.4">
      <c r="J393" s="4"/>
      <c r="K393" s="4"/>
      <c r="L393" s="4"/>
      <c r="BW393"/>
      <c r="BX393"/>
      <c r="BY393"/>
      <c r="BZ393"/>
      <c r="CA393"/>
      <c r="CB393"/>
    </row>
    <row r="394" spans="10:80" x14ac:dyDescent="0.4">
      <c r="J394" s="4"/>
      <c r="K394" s="4"/>
      <c r="L394" s="4"/>
      <c r="BW394"/>
      <c r="BX394"/>
      <c r="BY394"/>
      <c r="BZ394"/>
      <c r="CA394"/>
      <c r="CB394"/>
    </row>
    <row r="395" spans="10:80" x14ac:dyDescent="0.4">
      <c r="J395" s="4"/>
      <c r="K395" s="4"/>
      <c r="L395" s="4"/>
      <c r="BW395"/>
      <c r="BX395"/>
      <c r="BY395"/>
      <c r="BZ395"/>
      <c r="CA395"/>
      <c r="CB395"/>
    </row>
    <row r="396" spans="10:80" x14ac:dyDescent="0.4">
      <c r="J396" s="4"/>
      <c r="K396" s="4"/>
      <c r="L396" s="4"/>
      <c r="BW396"/>
      <c r="BX396"/>
      <c r="BY396"/>
      <c r="BZ396"/>
      <c r="CA396"/>
      <c r="CB396"/>
    </row>
    <row r="397" spans="10:80" x14ac:dyDescent="0.4">
      <c r="J397" s="4"/>
      <c r="K397" s="4"/>
      <c r="L397" s="4"/>
      <c r="BW397"/>
      <c r="BX397"/>
      <c r="BY397"/>
      <c r="BZ397"/>
      <c r="CA397"/>
      <c r="CB397"/>
    </row>
    <row r="398" spans="10:80" x14ac:dyDescent="0.4">
      <c r="J398" s="4"/>
      <c r="K398" s="4"/>
      <c r="L398" s="4"/>
      <c r="BW398"/>
      <c r="BX398"/>
      <c r="BY398"/>
      <c r="BZ398"/>
      <c r="CA398"/>
      <c r="CB398"/>
    </row>
    <row r="399" spans="10:80" x14ac:dyDescent="0.4">
      <c r="J399" s="4"/>
      <c r="K399" s="4"/>
      <c r="L399" s="4"/>
      <c r="BW399"/>
      <c r="BX399"/>
      <c r="BY399"/>
      <c r="BZ399"/>
      <c r="CA399"/>
      <c r="CB399"/>
    </row>
    <row r="400" spans="10:80" x14ac:dyDescent="0.4">
      <c r="J400" s="4"/>
      <c r="K400" s="4"/>
      <c r="L400" s="4"/>
      <c r="BW400"/>
      <c r="BX400"/>
      <c r="BY400"/>
      <c r="BZ400"/>
      <c r="CA400"/>
      <c r="CB400"/>
    </row>
    <row r="401" spans="10:80" x14ac:dyDescent="0.4">
      <c r="J401" s="4"/>
      <c r="K401" s="4"/>
      <c r="L401" s="4"/>
      <c r="BW401"/>
      <c r="BX401"/>
      <c r="BY401"/>
      <c r="BZ401"/>
      <c r="CA401"/>
      <c r="CB401"/>
    </row>
    <row r="402" spans="10:80" x14ac:dyDescent="0.4">
      <c r="J402" s="4"/>
      <c r="K402" s="4"/>
      <c r="L402" s="4"/>
      <c r="BW402"/>
      <c r="BX402"/>
      <c r="BY402"/>
      <c r="BZ402"/>
      <c r="CA402"/>
      <c r="CB402"/>
    </row>
    <row r="403" spans="10:80" x14ac:dyDescent="0.4">
      <c r="J403" s="4"/>
      <c r="K403" s="4"/>
      <c r="L403" s="4"/>
      <c r="BW403"/>
      <c r="BX403"/>
      <c r="BY403"/>
      <c r="BZ403"/>
      <c r="CA403"/>
      <c r="CB403"/>
    </row>
    <row r="404" spans="10:80" x14ac:dyDescent="0.4">
      <c r="J404" s="4"/>
      <c r="K404" s="4"/>
      <c r="L404" s="4"/>
      <c r="BW404"/>
      <c r="BX404"/>
      <c r="BY404"/>
      <c r="BZ404"/>
      <c r="CA404"/>
      <c r="CB404"/>
    </row>
    <row r="405" spans="10:80" x14ac:dyDescent="0.4">
      <c r="J405" s="4"/>
      <c r="K405" s="4"/>
      <c r="L405" s="4"/>
      <c r="BW405"/>
      <c r="BX405"/>
      <c r="BY405"/>
      <c r="BZ405"/>
      <c r="CA405"/>
      <c r="CB405"/>
    </row>
    <row r="406" spans="10:80" x14ac:dyDescent="0.4">
      <c r="J406" s="4"/>
      <c r="K406" s="4"/>
      <c r="L406" s="4"/>
      <c r="BW406"/>
      <c r="BX406"/>
      <c r="BY406"/>
      <c r="BZ406"/>
      <c r="CA406"/>
      <c r="CB406"/>
    </row>
    <row r="407" spans="10:80" x14ac:dyDescent="0.4">
      <c r="J407" s="4"/>
      <c r="K407" s="4"/>
      <c r="L407" s="4"/>
      <c r="BW407"/>
      <c r="BX407"/>
      <c r="BY407"/>
      <c r="BZ407"/>
      <c r="CA407"/>
      <c r="CB407"/>
    </row>
    <row r="408" spans="10:80" x14ac:dyDescent="0.4">
      <c r="J408" s="4"/>
      <c r="K408" s="4"/>
      <c r="L408" s="4"/>
      <c r="BW408"/>
      <c r="BX408"/>
      <c r="BY408"/>
      <c r="BZ408"/>
      <c r="CA408"/>
      <c r="CB408"/>
    </row>
    <row r="409" spans="10:80" x14ac:dyDescent="0.4">
      <c r="J409" s="4"/>
      <c r="K409" s="4"/>
      <c r="L409" s="4"/>
      <c r="BW409"/>
      <c r="BX409"/>
      <c r="BY409"/>
      <c r="BZ409"/>
      <c r="CA409"/>
      <c r="CB409"/>
    </row>
    <row r="410" spans="10:80" x14ac:dyDescent="0.4">
      <c r="J410" s="4"/>
      <c r="K410" s="4"/>
      <c r="L410" s="4"/>
      <c r="BW410"/>
      <c r="BX410"/>
      <c r="BY410"/>
      <c r="BZ410"/>
      <c r="CA410"/>
      <c r="CB410"/>
    </row>
    <row r="411" spans="10:80" x14ac:dyDescent="0.4">
      <c r="J411" s="4"/>
      <c r="K411" s="4"/>
      <c r="L411" s="4"/>
      <c r="BW411"/>
      <c r="BX411"/>
      <c r="BY411"/>
      <c r="BZ411"/>
      <c r="CA411"/>
      <c r="CB411"/>
    </row>
    <row r="412" spans="10:80" x14ac:dyDescent="0.4">
      <c r="BW412"/>
      <c r="BX412"/>
      <c r="BY412"/>
      <c r="BZ412"/>
      <c r="CA412"/>
      <c r="CB412"/>
    </row>
    <row r="413" spans="10:80" x14ac:dyDescent="0.4">
      <c r="BW413"/>
      <c r="BX413"/>
      <c r="BY413"/>
      <c r="BZ413"/>
      <c r="CA413"/>
      <c r="CB413"/>
    </row>
    <row r="414" spans="10:80" x14ac:dyDescent="0.4">
      <c r="BW414"/>
      <c r="BX414"/>
      <c r="BY414"/>
      <c r="BZ414"/>
      <c r="CA414"/>
      <c r="CB414"/>
    </row>
    <row r="415" spans="10:80" x14ac:dyDescent="0.4">
      <c r="BW415"/>
      <c r="BX415"/>
      <c r="BY415"/>
      <c r="BZ415"/>
      <c r="CA415"/>
      <c r="CB415"/>
    </row>
    <row r="416" spans="10:80" x14ac:dyDescent="0.4">
      <c r="BW416"/>
      <c r="BX416"/>
      <c r="BY416"/>
      <c r="BZ416"/>
      <c r="CA416"/>
      <c r="CB416"/>
    </row>
    <row r="417" spans="75:80" x14ac:dyDescent="0.4">
      <c r="BW417"/>
      <c r="BX417"/>
      <c r="BY417"/>
      <c r="BZ417"/>
      <c r="CA417"/>
      <c r="CB417"/>
    </row>
    <row r="418" spans="75:80" x14ac:dyDescent="0.4">
      <c r="BW418"/>
      <c r="BX418"/>
      <c r="BY418"/>
      <c r="BZ418"/>
      <c r="CA418"/>
      <c r="CB418"/>
    </row>
    <row r="419" spans="75:80" x14ac:dyDescent="0.4">
      <c r="BW419"/>
      <c r="BX419"/>
      <c r="BY419"/>
      <c r="BZ419"/>
      <c r="CA419"/>
      <c r="CB419"/>
    </row>
    <row r="420" spans="75:80" x14ac:dyDescent="0.4">
      <c r="BW420"/>
      <c r="BX420"/>
      <c r="BY420"/>
      <c r="BZ420"/>
      <c r="CA420"/>
      <c r="CB420"/>
    </row>
    <row r="421" spans="75:80" x14ac:dyDescent="0.4">
      <c r="BW421"/>
      <c r="BX421"/>
      <c r="BY421"/>
      <c r="BZ421"/>
      <c r="CA421"/>
      <c r="CB421"/>
    </row>
    <row r="422" spans="75:80" x14ac:dyDescent="0.4">
      <c r="BW422"/>
      <c r="BX422"/>
      <c r="BY422"/>
      <c r="BZ422"/>
      <c r="CA422"/>
      <c r="CB422"/>
    </row>
    <row r="423" spans="75:80" x14ac:dyDescent="0.4">
      <c r="BW423"/>
      <c r="BX423"/>
      <c r="BY423"/>
      <c r="BZ423"/>
      <c r="CA423"/>
      <c r="CB423"/>
    </row>
    <row r="424" spans="75:80" x14ac:dyDescent="0.4">
      <c r="BW424"/>
      <c r="BX424"/>
      <c r="BY424"/>
      <c r="BZ424"/>
      <c r="CA424"/>
      <c r="CB424"/>
    </row>
    <row r="425" spans="75:80" x14ac:dyDescent="0.4">
      <c r="BW425"/>
      <c r="BX425"/>
      <c r="BY425"/>
      <c r="BZ425"/>
      <c r="CA425"/>
      <c r="CB425"/>
    </row>
    <row r="426" spans="75:80" x14ac:dyDescent="0.4">
      <c r="BW426"/>
      <c r="BX426"/>
      <c r="BY426"/>
      <c r="BZ426"/>
      <c r="CA426"/>
      <c r="CB426"/>
    </row>
    <row r="427" spans="75:80" x14ac:dyDescent="0.4">
      <c r="BW427"/>
      <c r="BX427"/>
      <c r="BY427"/>
      <c r="BZ427"/>
      <c r="CA427"/>
      <c r="CB427"/>
    </row>
    <row r="428" spans="75:80" x14ac:dyDescent="0.4">
      <c r="BW428"/>
      <c r="BX428"/>
      <c r="BY428"/>
      <c r="BZ428"/>
      <c r="CA428"/>
      <c r="CB428"/>
    </row>
    <row r="429" spans="75:80" x14ac:dyDescent="0.4">
      <c r="BW429"/>
      <c r="BX429"/>
      <c r="BY429"/>
      <c r="BZ429"/>
      <c r="CA429"/>
      <c r="CB429"/>
    </row>
    <row r="430" spans="75:80" x14ac:dyDescent="0.4">
      <c r="BW430"/>
      <c r="BX430"/>
      <c r="BY430"/>
      <c r="BZ430"/>
      <c r="CA430"/>
      <c r="CB430"/>
    </row>
    <row r="431" spans="75:80" x14ac:dyDescent="0.4">
      <c r="BW431"/>
      <c r="BX431"/>
      <c r="BY431"/>
      <c r="BZ431"/>
      <c r="CA431"/>
      <c r="CB431"/>
    </row>
    <row r="432" spans="75:80" x14ac:dyDescent="0.4">
      <c r="BW432"/>
      <c r="BX432"/>
      <c r="BY432"/>
      <c r="BZ432"/>
      <c r="CA432"/>
      <c r="CB432"/>
    </row>
    <row r="433" spans="75:80" x14ac:dyDescent="0.4">
      <c r="BW433"/>
      <c r="BX433"/>
      <c r="BY433"/>
      <c r="BZ433"/>
      <c r="CA433"/>
      <c r="CB433"/>
    </row>
    <row r="434" spans="75:80" x14ac:dyDescent="0.4">
      <c r="BW434"/>
      <c r="BX434"/>
      <c r="BY434"/>
      <c r="BZ434"/>
      <c r="CA434"/>
      <c r="CB434"/>
    </row>
    <row r="435" spans="75:80" x14ac:dyDescent="0.4">
      <c r="BW435"/>
      <c r="BX435"/>
      <c r="BY435"/>
      <c r="BZ435"/>
      <c r="CA435"/>
      <c r="CB435"/>
    </row>
    <row r="436" spans="75:80" x14ac:dyDescent="0.4">
      <c r="BW436"/>
      <c r="BX436"/>
      <c r="BY436"/>
      <c r="BZ436"/>
      <c r="CA436"/>
      <c r="CB436"/>
    </row>
    <row r="437" spans="75:80" x14ac:dyDescent="0.4">
      <c r="BW437"/>
      <c r="BX437"/>
      <c r="BY437"/>
      <c r="BZ437"/>
      <c r="CA437"/>
      <c r="CB437"/>
    </row>
    <row r="438" spans="75:80" x14ac:dyDescent="0.4">
      <c r="BW438"/>
      <c r="BX438"/>
      <c r="BY438"/>
      <c r="BZ438"/>
      <c r="CA438"/>
      <c r="CB438"/>
    </row>
    <row r="439" spans="75:80" x14ac:dyDescent="0.4">
      <c r="BW439"/>
      <c r="BX439"/>
      <c r="BY439"/>
      <c r="BZ439"/>
      <c r="CA439"/>
      <c r="CB439"/>
    </row>
    <row r="440" spans="75:80" x14ac:dyDescent="0.4">
      <c r="BW440"/>
      <c r="BX440"/>
      <c r="BY440"/>
      <c r="BZ440"/>
      <c r="CA440"/>
      <c r="CB440"/>
    </row>
    <row r="441" spans="75:80" x14ac:dyDescent="0.4">
      <c r="BW441"/>
      <c r="BX441"/>
      <c r="BY441"/>
      <c r="BZ441"/>
      <c r="CA441"/>
      <c r="CB441"/>
    </row>
    <row r="442" spans="75:80" x14ac:dyDescent="0.4">
      <c r="BW442"/>
      <c r="BX442"/>
      <c r="BY442"/>
      <c r="BZ442"/>
      <c r="CA442"/>
      <c r="CB442"/>
    </row>
    <row r="443" spans="75:80" x14ac:dyDescent="0.4">
      <c r="BW443"/>
      <c r="BX443"/>
      <c r="BY443"/>
      <c r="BZ443"/>
      <c r="CA443"/>
      <c r="CB443"/>
    </row>
    <row r="444" spans="75:80" x14ac:dyDescent="0.4">
      <c r="BW444"/>
      <c r="BX444"/>
      <c r="BY444"/>
      <c r="BZ444"/>
      <c r="CA444"/>
      <c r="CB444"/>
    </row>
    <row r="445" spans="75:80" x14ac:dyDescent="0.4">
      <c r="BW445"/>
      <c r="BX445"/>
      <c r="BY445"/>
      <c r="BZ445"/>
      <c r="CA445"/>
      <c r="CB445"/>
    </row>
    <row r="446" spans="75:80" x14ac:dyDescent="0.4">
      <c r="BW446"/>
      <c r="BX446"/>
      <c r="BY446"/>
      <c r="BZ446"/>
      <c r="CA446"/>
      <c r="CB446"/>
    </row>
    <row r="447" spans="75:80" x14ac:dyDescent="0.4">
      <c r="BW447"/>
      <c r="BX447"/>
      <c r="BY447"/>
      <c r="BZ447"/>
      <c r="CA447"/>
      <c r="CB447"/>
    </row>
    <row r="448" spans="75:80" x14ac:dyDescent="0.4">
      <c r="BW448"/>
      <c r="BX448"/>
      <c r="BY448"/>
      <c r="BZ448"/>
      <c r="CA448"/>
      <c r="CB448"/>
    </row>
    <row r="449" spans="75:80" x14ac:dyDescent="0.4">
      <c r="BW449"/>
      <c r="BX449"/>
      <c r="BY449"/>
      <c r="BZ449"/>
      <c r="CA449"/>
      <c r="CB449"/>
    </row>
    <row r="450" spans="75:80" x14ac:dyDescent="0.4">
      <c r="BW450"/>
      <c r="BX450"/>
      <c r="BY450"/>
      <c r="BZ450"/>
      <c r="CA450"/>
      <c r="CB450"/>
    </row>
    <row r="451" spans="75:80" x14ac:dyDescent="0.4">
      <c r="BW451"/>
      <c r="BX451"/>
      <c r="BY451"/>
      <c r="BZ451"/>
      <c r="CA451"/>
      <c r="CB451"/>
    </row>
    <row r="452" spans="75:80" x14ac:dyDescent="0.4">
      <c r="BW452"/>
      <c r="BX452"/>
      <c r="BY452"/>
      <c r="BZ452"/>
      <c r="CA452"/>
      <c r="CB452"/>
    </row>
    <row r="453" spans="75:80" x14ac:dyDescent="0.4">
      <c r="BW453"/>
      <c r="BX453"/>
      <c r="BY453"/>
      <c r="BZ453"/>
      <c r="CA453"/>
      <c r="CB453"/>
    </row>
    <row r="454" spans="75:80" x14ac:dyDescent="0.4">
      <c r="BW454"/>
      <c r="BX454"/>
      <c r="BY454"/>
      <c r="BZ454"/>
      <c r="CA454"/>
      <c r="CB454"/>
    </row>
    <row r="455" spans="75:80" x14ac:dyDescent="0.4">
      <c r="BW455"/>
      <c r="BX455"/>
      <c r="BY455"/>
      <c r="BZ455"/>
      <c r="CA455"/>
      <c r="CB455"/>
    </row>
    <row r="456" spans="75:80" x14ac:dyDescent="0.4">
      <c r="BW456"/>
      <c r="BX456"/>
      <c r="BY456"/>
      <c r="BZ456"/>
      <c r="CA456"/>
      <c r="CB456"/>
    </row>
    <row r="457" spans="75:80" x14ac:dyDescent="0.4">
      <c r="BW457"/>
      <c r="BX457"/>
      <c r="BY457"/>
      <c r="BZ457"/>
      <c r="CA457"/>
      <c r="CB457"/>
    </row>
    <row r="458" spans="75:80" x14ac:dyDescent="0.4">
      <c r="BW458"/>
      <c r="BX458"/>
      <c r="BY458"/>
      <c r="BZ458"/>
      <c r="CA458"/>
      <c r="CB458"/>
    </row>
    <row r="459" spans="75:80" x14ac:dyDescent="0.4">
      <c r="BW459"/>
      <c r="BX459"/>
      <c r="BY459"/>
      <c r="BZ459"/>
      <c r="CA459"/>
      <c r="CB459"/>
    </row>
    <row r="460" spans="75:80" x14ac:dyDescent="0.4">
      <c r="BW460"/>
      <c r="BX460"/>
      <c r="BY460"/>
      <c r="BZ460"/>
      <c r="CA460"/>
      <c r="CB460"/>
    </row>
    <row r="461" spans="75:80" x14ac:dyDescent="0.4">
      <c r="BW461"/>
      <c r="BX461"/>
      <c r="BY461"/>
      <c r="BZ461"/>
      <c r="CA461"/>
      <c r="CB461"/>
    </row>
    <row r="462" spans="75:80" x14ac:dyDescent="0.4">
      <c r="BW462"/>
      <c r="BX462"/>
      <c r="BY462"/>
      <c r="BZ462"/>
      <c r="CA462"/>
      <c r="CB462"/>
    </row>
    <row r="463" spans="75:80" x14ac:dyDescent="0.4">
      <c r="BW463"/>
      <c r="BX463"/>
      <c r="BY463"/>
      <c r="BZ463"/>
      <c r="CA463"/>
      <c r="CB463"/>
    </row>
    <row r="464" spans="75:80" x14ac:dyDescent="0.4">
      <c r="BW464"/>
      <c r="BX464"/>
      <c r="BY464"/>
      <c r="BZ464"/>
      <c r="CA464"/>
      <c r="CB464"/>
    </row>
    <row r="465" spans="75:80" x14ac:dyDescent="0.4">
      <c r="BW465"/>
      <c r="BX465"/>
      <c r="BY465"/>
      <c r="BZ465"/>
      <c r="CA465"/>
      <c r="CB465"/>
    </row>
    <row r="466" spans="75:80" x14ac:dyDescent="0.4">
      <c r="BW466"/>
      <c r="BX466"/>
      <c r="BY466"/>
      <c r="BZ466"/>
      <c r="CA466"/>
      <c r="CB466"/>
    </row>
    <row r="467" spans="75:80" x14ac:dyDescent="0.4">
      <c r="BW467"/>
      <c r="BX467"/>
      <c r="BY467"/>
      <c r="BZ467"/>
      <c r="CA467"/>
      <c r="CB467"/>
    </row>
    <row r="468" spans="75:80" x14ac:dyDescent="0.4">
      <c r="BW468"/>
      <c r="BX468"/>
      <c r="BY468"/>
      <c r="BZ468"/>
      <c r="CA468"/>
      <c r="CB468"/>
    </row>
    <row r="469" spans="75:80" x14ac:dyDescent="0.4">
      <c r="BW469"/>
      <c r="BX469"/>
      <c r="BY469"/>
      <c r="BZ469"/>
      <c r="CA469"/>
      <c r="CB469"/>
    </row>
    <row r="470" spans="75:80" x14ac:dyDescent="0.4">
      <c r="BW470"/>
      <c r="BX470"/>
      <c r="BY470"/>
      <c r="BZ470"/>
      <c r="CA470"/>
      <c r="CB470"/>
    </row>
    <row r="471" spans="75:80" x14ac:dyDescent="0.4">
      <c r="BW471"/>
      <c r="BX471"/>
      <c r="BY471"/>
      <c r="BZ471"/>
      <c r="CA471"/>
      <c r="CB471"/>
    </row>
    <row r="472" spans="75:80" x14ac:dyDescent="0.4">
      <c r="BW472"/>
      <c r="BX472"/>
      <c r="BY472"/>
      <c r="BZ472"/>
      <c r="CA472"/>
      <c r="CB472"/>
    </row>
    <row r="473" spans="75:80" x14ac:dyDescent="0.4">
      <c r="BW473"/>
      <c r="BX473"/>
      <c r="BY473"/>
      <c r="BZ473"/>
      <c r="CA473"/>
      <c r="CB473"/>
    </row>
    <row r="474" spans="75:80" x14ac:dyDescent="0.4">
      <c r="BW474"/>
      <c r="BX474"/>
      <c r="BY474"/>
      <c r="BZ474"/>
      <c r="CA474"/>
      <c r="CB474"/>
    </row>
    <row r="475" spans="75:80" x14ac:dyDescent="0.4">
      <c r="BW475"/>
      <c r="BX475"/>
      <c r="BY475"/>
      <c r="BZ475"/>
      <c r="CA475"/>
      <c r="CB475"/>
    </row>
    <row r="476" spans="75:80" x14ac:dyDescent="0.4">
      <c r="BW476"/>
      <c r="BX476"/>
      <c r="BY476"/>
      <c r="BZ476"/>
      <c r="CA476"/>
      <c r="CB476"/>
    </row>
    <row r="477" spans="75:80" x14ac:dyDescent="0.4">
      <c r="BW477"/>
      <c r="BX477"/>
      <c r="BY477"/>
      <c r="BZ477"/>
      <c r="CA477"/>
      <c r="CB477"/>
    </row>
    <row r="478" spans="75:80" x14ac:dyDescent="0.4">
      <c r="BW478"/>
      <c r="BX478"/>
      <c r="BY478"/>
      <c r="BZ478"/>
      <c r="CA478"/>
      <c r="CB478"/>
    </row>
    <row r="479" spans="75:80" x14ac:dyDescent="0.4">
      <c r="BW479"/>
      <c r="BX479"/>
      <c r="BY479"/>
      <c r="BZ479"/>
      <c r="CA479"/>
      <c r="CB479"/>
    </row>
    <row r="480" spans="75:80" x14ac:dyDescent="0.4">
      <c r="BW480"/>
      <c r="BX480"/>
      <c r="BY480"/>
      <c r="BZ480"/>
      <c r="CA480"/>
      <c r="CB480"/>
    </row>
    <row r="481" spans="75:80" x14ac:dyDescent="0.4">
      <c r="BW481"/>
      <c r="BX481"/>
      <c r="BY481"/>
      <c r="BZ481"/>
      <c r="CA481"/>
      <c r="CB481"/>
    </row>
    <row r="482" spans="75:80" x14ac:dyDescent="0.4">
      <c r="BW482"/>
      <c r="BX482"/>
      <c r="BY482"/>
      <c r="BZ482"/>
      <c r="CA482"/>
      <c r="CB482"/>
    </row>
    <row r="483" spans="75:80" x14ac:dyDescent="0.4">
      <c r="BW483"/>
      <c r="BX483"/>
      <c r="BY483"/>
      <c r="BZ483"/>
      <c r="CA483"/>
      <c r="CB483"/>
    </row>
    <row r="484" spans="75:80" x14ac:dyDescent="0.4">
      <c r="BW484"/>
      <c r="BX484"/>
      <c r="BY484"/>
      <c r="BZ484"/>
      <c r="CA484"/>
      <c r="CB484"/>
    </row>
    <row r="485" spans="75:80" x14ac:dyDescent="0.4">
      <c r="BW485"/>
      <c r="BX485"/>
      <c r="BY485"/>
      <c r="BZ485"/>
      <c r="CA485"/>
      <c r="CB485"/>
    </row>
    <row r="486" spans="75:80" x14ac:dyDescent="0.4">
      <c r="BW486"/>
      <c r="BX486"/>
      <c r="BY486"/>
      <c r="BZ486"/>
      <c r="CA486"/>
      <c r="CB486"/>
    </row>
    <row r="487" spans="75:80" x14ac:dyDescent="0.4">
      <c r="BW487"/>
      <c r="BX487"/>
      <c r="BY487"/>
      <c r="BZ487"/>
      <c r="CA487"/>
      <c r="CB487"/>
    </row>
    <row r="488" spans="75:80" x14ac:dyDescent="0.4">
      <c r="BW488"/>
      <c r="BX488"/>
      <c r="BY488"/>
      <c r="BZ488"/>
      <c r="CA488"/>
      <c r="CB488"/>
    </row>
    <row r="489" spans="75:80" x14ac:dyDescent="0.4">
      <c r="BW489"/>
      <c r="BX489"/>
      <c r="BY489"/>
      <c r="BZ489"/>
      <c r="CA489"/>
      <c r="CB489"/>
    </row>
    <row r="490" spans="75:80" x14ac:dyDescent="0.4">
      <c r="BW490"/>
      <c r="BX490"/>
      <c r="BY490"/>
      <c r="BZ490"/>
      <c r="CA490"/>
      <c r="CB490"/>
    </row>
    <row r="491" spans="75:80" x14ac:dyDescent="0.4">
      <c r="BW491"/>
      <c r="BX491"/>
      <c r="BY491"/>
      <c r="BZ491"/>
      <c r="CA491"/>
      <c r="CB491"/>
    </row>
    <row r="492" spans="75:80" x14ac:dyDescent="0.4">
      <c r="BW492"/>
      <c r="BX492"/>
      <c r="BY492"/>
      <c r="BZ492"/>
      <c r="CA492"/>
      <c r="CB492"/>
    </row>
    <row r="493" spans="75:80" x14ac:dyDescent="0.4">
      <c r="BW493"/>
      <c r="BX493"/>
      <c r="BY493"/>
      <c r="BZ493"/>
      <c r="CA493"/>
      <c r="CB493"/>
    </row>
    <row r="494" spans="75:80" x14ac:dyDescent="0.4">
      <c r="BW494"/>
      <c r="BX494"/>
      <c r="BY494"/>
      <c r="BZ494"/>
      <c r="CA494"/>
      <c r="CB494"/>
    </row>
    <row r="495" spans="75:80" x14ac:dyDescent="0.4">
      <c r="BW495"/>
      <c r="BX495"/>
      <c r="BY495"/>
      <c r="BZ495"/>
      <c r="CA495"/>
      <c r="CB495"/>
    </row>
    <row r="496" spans="75:80" x14ac:dyDescent="0.4">
      <c r="BW496"/>
      <c r="BX496"/>
      <c r="BY496"/>
      <c r="BZ496"/>
      <c r="CA496"/>
      <c r="CB496"/>
    </row>
    <row r="497" spans="75:80" x14ac:dyDescent="0.4">
      <c r="BW497"/>
      <c r="BX497"/>
      <c r="BY497"/>
      <c r="BZ497"/>
      <c r="CA497"/>
      <c r="CB497"/>
    </row>
    <row r="498" spans="75:80" x14ac:dyDescent="0.4">
      <c r="BW498"/>
      <c r="BX498"/>
      <c r="BY498"/>
      <c r="BZ498"/>
      <c r="CA498"/>
      <c r="CB498"/>
    </row>
    <row r="499" spans="75:80" x14ac:dyDescent="0.4">
      <c r="BW499"/>
      <c r="BX499"/>
      <c r="BY499"/>
      <c r="BZ499"/>
      <c r="CA499"/>
      <c r="CB499"/>
    </row>
    <row r="500" spans="75:80" x14ac:dyDescent="0.4">
      <c r="BW500"/>
      <c r="BX500"/>
      <c r="BY500"/>
      <c r="BZ500"/>
      <c r="CA500"/>
      <c r="CB500"/>
    </row>
    <row r="501" spans="75:80" x14ac:dyDescent="0.4">
      <c r="BW501"/>
      <c r="BX501"/>
      <c r="BY501"/>
      <c r="BZ501"/>
      <c r="CA501"/>
      <c r="CB501"/>
    </row>
    <row r="502" spans="75:80" x14ac:dyDescent="0.4">
      <c r="BW502"/>
      <c r="BX502"/>
      <c r="BY502"/>
      <c r="BZ502"/>
      <c r="CA502"/>
      <c r="CB502"/>
    </row>
    <row r="503" spans="75:80" x14ac:dyDescent="0.4">
      <c r="BW503"/>
      <c r="BX503"/>
      <c r="BY503"/>
      <c r="BZ503"/>
      <c r="CA503"/>
      <c r="CB503"/>
    </row>
    <row r="504" spans="75:80" x14ac:dyDescent="0.4">
      <c r="BW504"/>
      <c r="BX504"/>
      <c r="BY504"/>
      <c r="BZ504"/>
      <c r="CA504"/>
      <c r="CB504"/>
    </row>
    <row r="505" spans="75:80" x14ac:dyDescent="0.4">
      <c r="BW505"/>
      <c r="BX505"/>
      <c r="BY505"/>
      <c r="BZ505"/>
      <c r="CA505"/>
      <c r="CB505"/>
    </row>
    <row r="506" spans="75:80" x14ac:dyDescent="0.4">
      <c r="BW506"/>
      <c r="BX506"/>
      <c r="BY506"/>
      <c r="BZ506"/>
      <c r="CA506"/>
      <c r="CB506"/>
    </row>
    <row r="507" spans="75:80" x14ac:dyDescent="0.4">
      <c r="BW507"/>
      <c r="BX507"/>
      <c r="BY507"/>
      <c r="BZ507"/>
      <c r="CA507"/>
      <c r="CB507"/>
    </row>
    <row r="508" spans="75:80" x14ac:dyDescent="0.4">
      <c r="BW508"/>
      <c r="BX508"/>
      <c r="BY508"/>
      <c r="BZ508"/>
      <c r="CA508"/>
      <c r="CB508"/>
    </row>
    <row r="509" spans="75:80" x14ac:dyDescent="0.4">
      <c r="BW509"/>
      <c r="BX509"/>
      <c r="BY509"/>
      <c r="BZ509"/>
      <c r="CA509"/>
      <c r="CB509"/>
    </row>
    <row r="510" spans="75:80" x14ac:dyDescent="0.4">
      <c r="BW510"/>
      <c r="BX510"/>
      <c r="BY510"/>
      <c r="BZ510"/>
      <c r="CA510"/>
      <c r="CB510"/>
    </row>
    <row r="511" spans="75:80" x14ac:dyDescent="0.4">
      <c r="BW511"/>
      <c r="BX511"/>
      <c r="BY511"/>
      <c r="BZ511"/>
      <c r="CA511"/>
      <c r="CB511"/>
    </row>
    <row r="512" spans="75:80" x14ac:dyDescent="0.4">
      <c r="BW512"/>
      <c r="BX512"/>
      <c r="BY512"/>
      <c r="BZ512"/>
      <c r="CA512"/>
      <c r="CB512"/>
    </row>
    <row r="513" spans="75:80" x14ac:dyDescent="0.4">
      <c r="BW513"/>
      <c r="BX513"/>
      <c r="BY513"/>
      <c r="BZ513"/>
      <c r="CA513"/>
      <c r="CB513"/>
    </row>
  </sheetData>
  <conditionalFormatting pivot="1" sqref="AI4:AI11">
    <cfRule type="cellIs" dxfId="1794" priority="1" operator="lessThan">
      <formula>$AI$12</formula>
    </cfRule>
  </conditionalFormatting>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982F0-A517-43B8-A976-7AC99CB613E8}">
  <dimension ref="A1:V40"/>
  <sheetViews>
    <sheetView showGridLines="0" tabSelected="1" topLeftCell="A2" zoomScale="70" zoomScaleNormal="70" workbookViewId="0">
      <selection activeCell="W17" sqref="W17"/>
    </sheetView>
  </sheetViews>
  <sheetFormatPr defaultRowHeight="14.5" x14ac:dyDescent="0.35"/>
  <sheetData>
    <row r="1" spans="1:22" x14ac:dyDescent="0.35">
      <c r="A1" s="25"/>
      <c r="B1" s="25"/>
      <c r="C1" s="25"/>
      <c r="D1" s="25"/>
      <c r="E1" s="25"/>
      <c r="F1" s="25"/>
      <c r="G1" s="25"/>
      <c r="H1" s="25"/>
      <c r="I1" s="25"/>
      <c r="J1" s="25"/>
      <c r="K1" s="25"/>
      <c r="L1" s="25"/>
      <c r="M1" s="25"/>
      <c r="N1" s="25"/>
      <c r="O1" s="25"/>
      <c r="P1" s="25"/>
      <c r="Q1" s="25"/>
      <c r="R1" s="25"/>
      <c r="S1" s="25"/>
      <c r="T1" s="25"/>
    </row>
    <row r="2" spans="1:22" x14ac:dyDescent="0.35">
      <c r="A2" s="25"/>
      <c r="B2" s="25"/>
      <c r="C2" s="25"/>
      <c r="D2" s="25"/>
      <c r="E2" s="25"/>
      <c r="F2" s="25"/>
      <c r="G2" s="25"/>
      <c r="H2" s="25"/>
      <c r="I2" s="25"/>
      <c r="J2" s="25"/>
      <c r="K2" s="25"/>
      <c r="L2" s="25"/>
      <c r="M2" s="25"/>
      <c r="N2" s="25"/>
      <c r="O2" s="25"/>
      <c r="P2" s="25"/>
      <c r="Q2" s="25"/>
      <c r="R2" s="25"/>
      <c r="S2" s="25"/>
      <c r="T2" s="25"/>
    </row>
    <row r="3" spans="1:22" x14ac:dyDescent="0.35">
      <c r="A3" s="25"/>
      <c r="B3" s="25"/>
      <c r="C3" s="25"/>
      <c r="D3" s="25"/>
      <c r="E3" s="25"/>
      <c r="F3" s="25"/>
      <c r="G3" s="25"/>
      <c r="H3" s="25"/>
      <c r="I3" s="25"/>
      <c r="J3" s="25"/>
      <c r="K3" s="25"/>
      <c r="L3" s="25"/>
      <c r="M3" s="25"/>
      <c r="N3" s="25"/>
      <c r="O3" s="25"/>
      <c r="P3" s="25"/>
      <c r="Q3" s="25"/>
      <c r="R3" s="25"/>
      <c r="S3" s="25"/>
      <c r="T3" s="25"/>
    </row>
    <row r="4" spans="1:22" x14ac:dyDescent="0.35">
      <c r="A4" s="25"/>
      <c r="B4" s="25"/>
      <c r="C4" s="25"/>
      <c r="D4" s="25"/>
      <c r="E4" s="25"/>
      <c r="F4" s="25"/>
      <c r="G4" s="25"/>
      <c r="H4" s="25"/>
      <c r="I4" s="25"/>
      <c r="J4" s="25"/>
      <c r="K4" s="25"/>
      <c r="L4" s="25"/>
      <c r="M4" s="25"/>
      <c r="N4" s="25"/>
      <c r="O4" s="25"/>
      <c r="P4" s="25"/>
      <c r="Q4" s="25"/>
      <c r="R4" s="25"/>
      <c r="S4" s="25"/>
      <c r="T4" s="25"/>
    </row>
    <row r="5" spans="1:22" x14ac:dyDescent="0.35">
      <c r="A5" s="25"/>
      <c r="B5" s="25"/>
      <c r="C5" s="25"/>
      <c r="D5" s="25"/>
      <c r="E5" s="25"/>
      <c r="F5" s="25"/>
      <c r="G5" s="25"/>
      <c r="H5" s="25"/>
      <c r="I5" s="25"/>
      <c r="J5" s="25"/>
      <c r="K5" s="25"/>
      <c r="L5" s="25"/>
      <c r="M5" s="25"/>
      <c r="N5" s="25"/>
      <c r="O5" s="25"/>
      <c r="P5" s="25"/>
      <c r="Q5" s="25"/>
      <c r="R5" s="25"/>
      <c r="S5" s="25"/>
      <c r="T5" s="25"/>
    </row>
    <row r="6" spans="1:22" x14ac:dyDescent="0.35">
      <c r="A6" s="25"/>
      <c r="B6" s="25"/>
      <c r="C6" s="25"/>
      <c r="D6" s="25"/>
      <c r="E6" s="25"/>
      <c r="F6" s="25"/>
      <c r="G6" s="25"/>
      <c r="H6" s="25"/>
      <c r="I6" s="25"/>
      <c r="J6" s="25"/>
      <c r="K6" s="25"/>
      <c r="L6" s="25"/>
      <c r="M6" s="25"/>
      <c r="N6" s="25"/>
      <c r="O6" s="25"/>
      <c r="P6" s="25"/>
      <c r="Q6" s="25"/>
      <c r="R6" s="25"/>
      <c r="S6" s="25"/>
      <c r="T6" s="25"/>
    </row>
    <row r="7" spans="1:22" x14ac:dyDescent="0.35">
      <c r="A7" s="25"/>
      <c r="B7" s="25"/>
      <c r="C7" s="25"/>
      <c r="D7" s="25"/>
      <c r="E7" s="25"/>
      <c r="F7" s="25"/>
      <c r="G7" s="25"/>
      <c r="H7" s="25"/>
      <c r="I7" s="25"/>
      <c r="J7" s="25"/>
      <c r="K7" s="25"/>
      <c r="L7" s="25"/>
      <c r="M7" s="25"/>
      <c r="N7" s="25"/>
      <c r="O7" s="25"/>
      <c r="P7" s="25"/>
      <c r="Q7" s="25"/>
      <c r="R7" s="25"/>
      <c r="S7" s="27"/>
      <c r="T7" s="25"/>
    </row>
    <row r="8" spans="1:22" x14ac:dyDescent="0.35">
      <c r="A8" s="25"/>
      <c r="B8" s="25"/>
      <c r="C8" s="25"/>
      <c r="D8" s="25"/>
      <c r="E8" s="25"/>
      <c r="F8" s="25"/>
      <c r="G8" s="25"/>
      <c r="H8" s="25"/>
      <c r="I8" s="25"/>
      <c r="J8" s="25"/>
      <c r="K8" s="25"/>
      <c r="L8" s="25"/>
      <c r="M8" s="25"/>
      <c r="N8" s="25"/>
      <c r="O8" s="25"/>
      <c r="P8" s="25"/>
      <c r="Q8" s="25"/>
      <c r="R8" s="25"/>
      <c r="S8" s="25"/>
      <c r="T8" s="25"/>
    </row>
    <row r="9" spans="1:22" x14ac:dyDescent="0.35">
      <c r="A9" s="25"/>
      <c r="B9" s="25"/>
      <c r="C9" s="25"/>
      <c r="D9" s="25"/>
      <c r="E9" s="25"/>
      <c r="F9" s="25"/>
      <c r="G9" s="25"/>
      <c r="H9" s="25"/>
      <c r="I9" s="25"/>
      <c r="J9" s="25"/>
      <c r="K9" s="25"/>
      <c r="L9" s="25"/>
      <c r="M9" s="25"/>
      <c r="N9" s="25"/>
      <c r="O9" s="25"/>
      <c r="P9" s="25"/>
      <c r="Q9" s="25"/>
      <c r="R9" s="25"/>
      <c r="S9" s="25"/>
      <c r="T9" s="25"/>
    </row>
    <row r="10" spans="1:22" x14ac:dyDescent="0.35">
      <c r="A10" s="25"/>
      <c r="B10" s="25"/>
      <c r="C10" s="25"/>
      <c r="D10" s="25"/>
      <c r="E10" s="25"/>
      <c r="F10" s="25"/>
      <c r="G10" s="25"/>
      <c r="H10" s="25"/>
      <c r="I10" s="25"/>
      <c r="J10" s="25"/>
      <c r="K10" s="25"/>
      <c r="L10" s="25"/>
      <c r="M10" s="25"/>
      <c r="N10" s="25"/>
      <c r="O10" s="25"/>
      <c r="P10" s="25"/>
      <c r="Q10" s="25"/>
      <c r="R10" s="25"/>
      <c r="S10" s="25"/>
      <c r="T10" s="25"/>
    </row>
    <row r="11" spans="1:22" x14ac:dyDescent="0.35">
      <c r="A11" s="25"/>
      <c r="B11" s="25"/>
      <c r="C11" s="25"/>
      <c r="D11" s="25"/>
      <c r="E11" s="25"/>
      <c r="F11" s="25"/>
      <c r="G11" s="25"/>
      <c r="H11" s="25"/>
      <c r="I11" s="25"/>
      <c r="J11" s="25"/>
      <c r="K11" s="25"/>
      <c r="L11" s="25"/>
      <c r="M11" s="25"/>
      <c r="N11" s="25"/>
      <c r="O11" s="25"/>
      <c r="P11" s="25"/>
      <c r="Q11" s="25"/>
      <c r="R11" s="25"/>
      <c r="S11" s="25"/>
      <c r="T11" s="25"/>
    </row>
    <row r="12" spans="1:22" ht="16" x14ac:dyDescent="0.4">
      <c r="A12" s="25"/>
      <c r="B12" s="25"/>
      <c r="C12" s="25"/>
      <c r="D12" s="25"/>
      <c r="E12" s="25"/>
      <c r="F12" s="25"/>
      <c r="G12" s="25"/>
      <c r="H12" s="25"/>
      <c r="I12" s="25"/>
      <c r="J12" s="25"/>
      <c r="K12" s="25"/>
      <c r="L12" s="25"/>
      <c r="M12" s="25"/>
      <c r="N12" s="25"/>
      <c r="O12" s="25"/>
      <c r="P12" s="25"/>
      <c r="Q12" s="25"/>
      <c r="R12" s="25"/>
      <c r="S12" s="25"/>
      <c r="T12" s="25"/>
      <c r="V12" s="5"/>
    </row>
    <row r="13" spans="1:22" x14ac:dyDescent="0.35">
      <c r="A13" s="25"/>
      <c r="B13" s="25"/>
      <c r="C13" s="25"/>
      <c r="D13" s="25"/>
      <c r="E13" s="25"/>
      <c r="F13" s="25"/>
      <c r="G13" s="25"/>
      <c r="H13" s="25"/>
      <c r="I13" s="25"/>
      <c r="J13" s="25"/>
      <c r="K13" s="25"/>
      <c r="L13" s="25"/>
      <c r="M13" s="25"/>
      <c r="N13" s="25"/>
      <c r="O13" s="25"/>
      <c r="P13" s="25"/>
      <c r="Q13" s="25"/>
      <c r="R13" s="25"/>
      <c r="S13" s="25"/>
      <c r="T13" s="25"/>
    </row>
    <row r="14" spans="1:22" x14ac:dyDescent="0.35">
      <c r="A14" s="25"/>
      <c r="B14" s="25"/>
      <c r="C14" s="25"/>
      <c r="D14" s="25"/>
      <c r="E14" s="25"/>
      <c r="F14" s="25"/>
      <c r="G14" s="25"/>
      <c r="H14" s="25"/>
      <c r="I14" s="25"/>
      <c r="J14" s="25"/>
      <c r="K14" s="25"/>
      <c r="L14" s="25"/>
      <c r="M14" s="25"/>
      <c r="N14" s="25"/>
      <c r="O14" s="25"/>
      <c r="P14" s="25"/>
      <c r="Q14" s="25"/>
      <c r="R14" s="25"/>
      <c r="S14" s="25"/>
      <c r="T14" s="25"/>
    </row>
    <row r="15" spans="1:22" x14ac:dyDescent="0.35">
      <c r="A15" s="25"/>
      <c r="B15" s="25"/>
      <c r="C15" s="25"/>
      <c r="D15" s="25"/>
      <c r="E15" s="25"/>
      <c r="F15" s="25"/>
      <c r="G15" s="25"/>
      <c r="H15" s="25"/>
      <c r="I15" s="25"/>
      <c r="J15" s="25"/>
      <c r="K15" s="25"/>
      <c r="L15" s="25"/>
      <c r="M15" s="25"/>
      <c r="N15" s="25"/>
      <c r="O15" s="25"/>
      <c r="P15" s="25"/>
      <c r="Q15" s="25"/>
      <c r="R15" s="25"/>
      <c r="S15" s="25"/>
      <c r="T15" s="25"/>
    </row>
    <row r="16" spans="1:22" x14ac:dyDescent="0.35">
      <c r="A16" s="25"/>
      <c r="B16" s="25"/>
      <c r="C16" s="25"/>
      <c r="D16" s="25"/>
      <c r="E16" s="25"/>
      <c r="F16" s="25"/>
      <c r="G16" s="25"/>
      <c r="H16" s="25"/>
      <c r="I16" s="25"/>
      <c r="J16" s="25"/>
      <c r="K16" s="25"/>
      <c r="L16" s="25"/>
      <c r="M16" s="25"/>
      <c r="N16" s="25"/>
      <c r="O16" s="25"/>
      <c r="P16" s="25"/>
      <c r="Q16" s="25"/>
      <c r="R16" s="25"/>
      <c r="S16" s="25"/>
      <c r="T16" s="25"/>
    </row>
    <row r="17" spans="1:20" x14ac:dyDescent="0.35">
      <c r="A17" s="25"/>
      <c r="B17" s="25"/>
      <c r="C17" s="25"/>
      <c r="D17" s="25"/>
      <c r="E17" s="25"/>
      <c r="F17" s="25"/>
      <c r="G17" s="25"/>
      <c r="H17" s="25"/>
      <c r="I17" s="25"/>
      <c r="J17" s="25"/>
      <c r="K17" s="25"/>
      <c r="L17" s="25"/>
      <c r="M17" s="25"/>
      <c r="N17" s="25"/>
      <c r="O17" s="25"/>
      <c r="P17" s="25"/>
      <c r="Q17" s="25"/>
      <c r="R17" s="25"/>
      <c r="S17" s="25"/>
      <c r="T17" s="25"/>
    </row>
    <row r="18" spans="1:20" x14ac:dyDescent="0.35">
      <c r="A18" s="25"/>
      <c r="B18" s="25"/>
      <c r="C18" s="25"/>
      <c r="D18" s="25"/>
      <c r="E18" s="25"/>
      <c r="F18" s="25"/>
      <c r="G18" s="25"/>
      <c r="H18" s="25"/>
      <c r="I18" s="25"/>
      <c r="J18" s="25"/>
      <c r="K18" s="25"/>
      <c r="L18" s="25"/>
      <c r="M18" s="25"/>
      <c r="N18" s="25"/>
      <c r="O18" s="25"/>
      <c r="P18" s="25"/>
      <c r="Q18" s="25"/>
      <c r="R18" s="25"/>
      <c r="S18" s="25"/>
      <c r="T18" s="25"/>
    </row>
    <row r="19" spans="1:20" x14ac:dyDescent="0.35">
      <c r="A19" s="25"/>
      <c r="B19" s="25"/>
      <c r="C19" s="25"/>
      <c r="D19" s="25"/>
      <c r="E19" s="25"/>
      <c r="F19" s="25"/>
      <c r="G19" s="25"/>
      <c r="H19" s="25"/>
      <c r="I19" s="25"/>
      <c r="J19" s="25"/>
      <c r="K19" s="25"/>
      <c r="L19" s="25"/>
      <c r="M19" s="25"/>
      <c r="N19" s="25"/>
      <c r="O19" s="25"/>
      <c r="P19" s="25"/>
      <c r="Q19" s="25"/>
      <c r="R19" s="25"/>
      <c r="S19" s="25"/>
      <c r="T19" s="25"/>
    </row>
    <row r="20" spans="1:20" x14ac:dyDescent="0.35">
      <c r="A20" s="25"/>
      <c r="B20" s="25"/>
      <c r="C20" s="25"/>
      <c r="D20" s="25"/>
      <c r="E20" s="25"/>
      <c r="F20" s="25"/>
      <c r="G20" s="25"/>
      <c r="H20" s="25"/>
      <c r="I20" s="25"/>
      <c r="J20" s="25"/>
      <c r="K20" s="25"/>
      <c r="L20" s="25"/>
      <c r="M20" s="25"/>
      <c r="N20" s="25"/>
      <c r="O20" s="25"/>
      <c r="P20" s="25"/>
      <c r="Q20" s="25"/>
      <c r="R20" s="25"/>
      <c r="S20" s="25"/>
      <c r="T20" s="25"/>
    </row>
    <row r="21" spans="1:20" x14ac:dyDescent="0.35">
      <c r="A21" s="25"/>
      <c r="B21" s="25"/>
      <c r="C21" s="25"/>
      <c r="D21" s="25"/>
      <c r="E21" s="25"/>
      <c r="F21" s="25"/>
      <c r="G21" s="25"/>
      <c r="H21" s="25"/>
      <c r="I21" s="25"/>
      <c r="J21" s="25"/>
      <c r="K21" s="25"/>
      <c r="L21" s="25"/>
      <c r="M21" s="25"/>
      <c r="N21" s="25"/>
      <c r="O21" s="25"/>
      <c r="P21" s="25"/>
      <c r="Q21" s="25"/>
      <c r="R21" s="25"/>
      <c r="S21" s="25"/>
      <c r="T21" s="25"/>
    </row>
    <row r="22" spans="1:20" x14ac:dyDescent="0.35">
      <c r="A22" s="25"/>
      <c r="B22" s="25"/>
      <c r="C22" s="25"/>
      <c r="D22" s="25"/>
      <c r="E22" s="25"/>
      <c r="F22" s="25"/>
      <c r="G22" s="25"/>
      <c r="H22" s="25"/>
      <c r="I22" s="25"/>
      <c r="J22" s="25"/>
      <c r="K22" s="25"/>
      <c r="L22" s="25"/>
      <c r="M22" s="25"/>
      <c r="N22" s="25"/>
      <c r="O22" s="25"/>
      <c r="P22" s="25"/>
      <c r="Q22" s="25"/>
      <c r="R22" s="25"/>
      <c r="S22" s="25"/>
      <c r="T22" s="25"/>
    </row>
    <row r="23" spans="1:20" x14ac:dyDescent="0.35">
      <c r="A23" s="25"/>
      <c r="B23" s="25"/>
      <c r="C23" s="25"/>
      <c r="D23" s="25"/>
      <c r="E23" s="25"/>
      <c r="F23" s="25"/>
      <c r="G23" s="25"/>
      <c r="H23" s="25"/>
      <c r="I23" s="25"/>
      <c r="J23" s="25"/>
      <c r="K23" s="25"/>
      <c r="L23" s="25"/>
      <c r="M23" s="25"/>
      <c r="N23" s="25"/>
      <c r="O23" s="25"/>
      <c r="P23" s="25"/>
      <c r="Q23" s="25"/>
      <c r="R23" s="25"/>
      <c r="S23" s="25"/>
      <c r="T23" s="25"/>
    </row>
    <row r="24" spans="1:20" x14ac:dyDescent="0.35">
      <c r="A24" s="25"/>
      <c r="B24" s="25"/>
      <c r="C24" s="25"/>
      <c r="D24" s="25"/>
      <c r="E24" s="25"/>
      <c r="F24" s="25"/>
      <c r="G24" s="25"/>
      <c r="H24" s="25"/>
      <c r="I24" s="25"/>
      <c r="J24" s="25"/>
      <c r="K24" s="25"/>
      <c r="L24" s="25"/>
      <c r="M24" s="25"/>
      <c r="N24" s="25"/>
      <c r="O24" s="25"/>
      <c r="P24" s="25"/>
      <c r="Q24" s="25"/>
      <c r="R24" s="25"/>
      <c r="S24" s="25"/>
      <c r="T24" s="25"/>
    </row>
    <row r="25" spans="1:20" x14ac:dyDescent="0.35">
      <c r="A25" s="25"/>
      <c r="B25" s="25"/>
      <c r="C25" s="25"/>
      <c r="D25" s="25"/>
      <c r="E25" s="25"/>
      <c r="F25" s="25"/>
      <c r="G25" s="25"/>
      <c r="H25" s="25"/>
      <c r="I25" s="25"/>
      <c r="J25" s="25"/>
      <c r="K25" s="25"/>
      <c r="L25" s="25"/>
      <c r="M25" s="25"/>
      <c r="N25" s="25"/>
      <c r="O25" s="25"/>
      <c r="P25" s="25"/>
      <c r="Q25" s="25"/>
      <c r="R25" s="25"/>
      <c r="S25" s="25"/>
      <c r="T25" s="25"/>
    </row>
    <row r="26" spans="1:20" x14ac:dyDescent="0.35">
      <c r="A26" s="25"/>
      <c r="B26" s="25"/>
      <c r="C26" s="25"/>
      <c r="D26" s="25"/>
      <c r="E26" s="25"/>
      <c r="F26" s="25"/>
      <c r="G26" s="25"/>
      <c r="H26" s="25"/>
      <c r="I26" s="25"/>
      <c r="J26" s="25"/>
      <c r="K26" s="25"/>
      <c r="L26" s="25"/>
      <c r="M26" s="25"/>
      <c r="N26" s="25"/>
      <c r="O26" s="25"/>
      <c r="P26" s="25"/>
      <c r="Q26" s="25"/>
      <c r="R26" s="25"/>
      <c r="S26" s="25"/>
      <c r="T26" s="25"/>
    </row>
    <row r="27" spans="1:20" x14ac:dyDescent="0.35">
      <c r="A27" s="25"/>
      <c r="B27" s="25"/>
      <c r="C27" s="25"/>
      <c r="D27" s="25"/>
      <c r="E27" s="25"/>
      <c r="F27" s="25"/>
      <c r="G27" s="25"/>
      <c r="H27" s="25"/>
      <c r="I27" s="25"/>
      <c r="J27" s="25"/>
      <c r="K27" s="25"/>
      <c r="L27" s="25"/>
      <c r="M27" s="25"/>
      <c r="N27" s="25"/>
      <c r="O27" s="25"/>
      <c r="P27" s="25"/>
      <c r="Q27" s="25"/>
      <c r="R27" s="25"/>
      <c r="S27" s="25"/>
      <c r="T27" s="25"/>
    </row>
    <row r="28" spans="1:20" x14ac:dyDescent="0.35">
      <c r="A28" s="25"/>
      <c r="B28" s="25"/>
      <c r="C28" s="25"/>
      <c r="D28" s="25"/>
      <c r="E28" s="25"/>
      <c r="F28" s="25"/>
      <c r="G28" s="25"/>
      <c r="H28" s="25"/>
      <c r="I28" s="25"/>
      <c r="J28" s="25"/>
      <c r="K28" s="25"/>
      <c r="L28" s="25"/>
      <c r="M28" s="25"/>
      <c r="N28" s="25"/>
      <c r="O28" s="25"/>
      <c r="P28" s="25"/>
      <c r="Q28" s="25"/>
      <c r="R28" s="25"/>
      <c r="S28" s="25"/>
      <c r="T28" s="25"/>
    </row>
    <row r="29" spans="1:20" x14ac:dyDescent="0.35">
      <c r="A29" s="25"/>
      <c r="B29" s="25"/>
      <c r="C29" s="25"/>
      <c r="D29" s="25"/>
      <c r="E29" s="25"/>
      <c r="F29" s="25"/>
      <c r="G29" s="25"/>
      <c r="H29" s="25"/>
      <c r="I29" s="25"/>
      <c r="J29" s="25"/>
      <c r="K29" s="25"/>
      <c r="L29" s="25"/>
      <c r="M29" s="25"/>
      <c r="N29" s="25"/>
      <c r="O29" s="25"/>
      <c r="P29" s="25"/>
      <c r="Q29" s="25"/>
      <c r="R29" s="25"/>
      <c r="S29" s="25"/>
      <c r="T29" s="25"/>
    </row>
    <row r="30" spans="1:20" x14ac:dyDescent="0.35">
      <c r="A30" s="25"/>
      <c r="B30" s="25"/>
      <c r="C30" s="25"/>
      <c r="D30" s="25"/>
      <c r="E30" s="25"/>
      <c r="F30" s="25"/>
      <c r="G30" s="25"/>
      <c r="H30" s="25"/>
      <c r="I30" s="25"/>
      <c r="J30" s="25"/>
      <c r="K30" s="25"/>
      <c r="L30" s="25"/>
      <c r="M30" s="25"/>
      <c r="N30" s="25"/>
      <c r="O30" s="25"/>
      <c r="P30" s="25"/>
      <c r="Q30" s="25"/>
      <c r="R30" s="25"/>
      <c r="S30" s="25"/>
      <c r="T30" s="25"/>
    </row>
    <row r="31" spans="1:20" x14ac:dyDescent="0.35">
      <c r="A31" s="25"/>
      <c r="B31" s="25"/>
      <c r="C31" s="25"/>
      <c r="D31" s="25"/>
      <c r="E31" s="25"/>
      <c r="F31" s="25"/>
      <c r="G31" s="25"/>
      <c r="H31" s="25"/>
      <c r="I31" s="25"/>
      <c r="J31" s="25"/>
      <c r="K31" s="25"/>
      <c r="L31" s="25"/>
      <c r="M31" s="25"/>
      <c r="N31" s="25"/>
      <c r="O31" s="25"/>
      <c r="P31" s="25"/>
      <c r="Q31" s="25"/>
      <c r="R31" s="25"/>
      <c r="S31" s="25"/>
      <c r="T31" s="25"/>
    </row>
    <row r="32" spans="1:20" x14ac:dyDescent="0.35">
      <c r="A32" s="25"/>
      <c r="B32" s="25"/>
      <c r="C32" s="25"/>
      <c r="D32" s="25"/>
      <c r="E32" s="25"/>
      <c r="F32" s="25"/>
      <c r="G32" s="25"/>
      <c r="H32" s="25"/>
      <c r="I32" s="25"/>
      <c r="J32" s="25"/>
      <c r="K32" s="25"/>
      <c r="L32" s="25"/>
      <c r="M32" s="25"/>
      <c r="N32" s="25"/>
      <c r="O32" s="25"/>
      <c r="P32" s="25"/>
      <c r="Q32" s="25"/>
      <c r="R32" s="25"/>
      <c r="S32" s="25"/>
      <c r="T32" s="25"/>
    </row>
    <row r="33" spans="1:20" x14ac:dyDescent="0.35">
      <c r="A33" s="25"/>
      <c r="B33" s="25"/>
      <c r="C33" s="25"/>
      <c r="D33" s="25"/>
      <c r="E33" s="25"/>
      <c r="F33" s="25"/>
      <c r="G33" s="25"/>
      <c r="H33" s="25"/>
      <c r="I33" s="25"/>
      <c r="J33" s="25"/>
      <c r="K33" s="25"/>
      <c r="L33" s="25"/>
      <c r="M33" s="25"/>
      <c r="N33" s="25"/>
      <c r="O33" s="25"/>
      <c r="P33" s="25"/>
      <c r="Q33" s="25"/>
      <c r="R33" s="25"/>
      <c r="S33" s="25"/>
      <c r="T33" s="25"/>
    </row>
    <row r="34" spans="1:20" x14ac:dyDescent="0.35">
      <c r="A34" s="25"/>
      <c r="B34" s="25"/>
      <c r="C34" s="25"/>
      <c r="D34" s="25"/>
      <c r="E34" s="25"/>
      <c r="F34" s="25"/>
      <c r="G34" s="25"/>
      <c r="H34" s="25"/>
      <c r="I34" s="25"/>
      <c r="J34" s="25"/>
      <c r="K34" s="25"/>
      <c r="L34" s="25"/>
      <c r="M34" s="25"/>
      <c r="N34" s="25"/>
      <c r="O34" s="25"/>
      <c r="P34" s="25"/>
      <c r="Q34" s="25"/>
      <c r="R34" s="25"/>
      <c r="S34" s="25"/>
      <c r="T34" s="25"/>
    </row>
    <row r="35" spans="1:20" x14ac:dyDescent="0.35">
      <c r="A35" s="25"/>
      <c r="B35" s="25"/>
      <c r="C35" s="25"/>
      <c r="D35" s="25"/>
      <c r="E35" s="25"/>
      <c r="F35" s="25"/>
      <c r="G35" s="25"/>
      <c r="H35" s="25"/>
      <c r="I35" s="25"/>
      <c r="J35" s="25"/>
      <c r="K35" s="25"/>
      <c r="L35" s="25"/>
      <c r="M35" s="25"/>
      <c r="N35" s="25"/>
      <c r="O35" s="25"/>
      <c r="P35" s="25"/>
      <c r="Q35" s="25"/>
      <c r="R35" s="25"/>
      <c r="S35" s="25"/>
      <c r="T35" s="25"/>
    </row>
    <row r="36" spans="1:20" x14ac:dyDescent="0.35">
      <c r="A36" s="25"/>
      <c r="B36" s="25"/>
      <c r="C36" s="25"/>
      <c r="D36" s="25"/>
      <c r="E36" s="25"/>
      <c r="F36" s="25"/>
      <c r="G36" s="25"/>
      <c r="H36" s="25"/>
      <c r="I36" s="25"/>
      <c r="J36" s="25"/>
      <c r="K36" s="25"/>
      <c r="L36" s="25"/>
      <c r="M36" s="25"/>
      <c r="N36" s="25"/>
      <c r="O36" s="25"/>
      <c r="P36" s="25"/>
      <c r="Q36" s="25"/>
      <c r="R36" s="25"/>
      <c r="S36" s="25"/>
      <c r="T36" s="25"/>
    </row>
    <row r="37" spans="1:20" x14ac:dyDescent="0.35">
      <c r="A37" s="25"/>
      <c r="B37" s="25"/>
      <c r="C37" s="25"/>
      <c r="D37" s="25"/>
      <c r="E37" s="25"/>
      <c r="F37" s="25"/>
      <c r="G37" s="25"/>
      <c r="H37" s="25"/>
      <c r="I37" s="25"/>
      <c r="J37" s="25"/>
      <c r="K37" s="25"/>
      <c r="L37" s="25"/>
      <c r="M37" s="25"/>
      <c r="N37" s="25"/>
      <c r="O37" s="25"/>
      <c r="P37" s="25"/>
      <c r="Q37" s="25"/>
      <c r="R37" s="25"/>
      <c r="S37" s="25"/>
      <c r="T37" s="25"/>
    </row>
    <row r="38" spans="1:20" x14ac:dyDescent="0.35">
      <c r="A38" s="25"/>
      <c r="B38" s="25"/>
      <c r="C38" s="25"/>
      <c r="D38" s="25"/>
      <c r="E38" s="25"/>
      <c r="F38" s="25"/>
      <c r="G38" s="25"/>
      <c r="H38" s="25"/>
      <c r="I38" s="25"/>
      <c r="J38" s="25"/>
      <c r="K38" s="25"/>
      <c r="L38" s="25"/>
      <c r="M38" s="25"/>
      <c r="N38" s="25"/>
      <c r="O38" s="25"/>
      <c r="P38" s="25"/>
      <c r="Q38" s="25"/>
      <c r="R38" s="25"/>
      <c r="S38" s="25"/>
      <c r="T38" s="25"/>
    </row>
    <row r="39" spans="1:20" x14ac:dyDescent="0.35">
      <c r="A39" s="25"/>
      <c r="B39" s="25"/>
      <c r="C39" s="25"/>
      <c r="D39" s="25"/>
      <c r="E39" s="25"/>
      <c r="F39" s="25"/>
      <c r="G39" s="25"/>
      <c r="H39" s="25"/>
      <c r="I39" s="25"/>
      <c r="J39" s="25"/>
      <c r="K39" s="25"/>
      <c r="L39" s="25"/>
      <c r="M39" s="25"/>
      <c r="N39" s="25"/>
      <c r="O39" s="25"/>
      <c r="P39" s="25"/>
      <c r="Q39" s="25"/>
      <c r="R39" s="25"/>
      <c r="S39" s="25"/>
      <c r="T39" s="25"/>
    </row>
    <row r="40" spans="1:20" x14ac:dyDescent="0.35">
      <c r="A40" s="25"/>
      <c r="B40" s="25"/>
      <c r="C40" s="25"/>
      <c r="D40" s="25"/>
      <c r="E40" s="25"/>
      <c r="F40" s="25"/>
      <c r="G40" s="25"/>
      <c r="H40" s="25"/>
      <c r="I40" s="25"/>
      <c r="J40" s="25"/>
      <c r="K40" s="25"/>
      <c r="L40" s="25"/>
      <c r="M40" s="25"/>
      <c r="N40" s="25"/>
      <c r="O40" s="25"/>
      <c r="P40" s="25"/>
      <c r="Q40" s="25"/>
      <c r="R40" s="25"/>
      <c r="S40" s="25"/>
      <c r="T40" s="2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6FFC923-A077-47AA-B004-1DBAC751565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products</vt:lpstr>
      <vt:lpstr>shoe_sales_clean_data</vt:lpstr>
      <vt:lpstr>Sheet3</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Machine</dc:creator>
  <cp:lastModifiedBy>Sire Henry</cp:lastModifiedBy>
  <dcterms:created xsi:type="dcterms:W3CDTF">2026-05-12T11:30:47Z</dcterms:created>
  <dcterms:modified xsi:type="dcterms:W3CDTF">2026-08-19T15:52:51Z</dcterms:modified>
</cp:coreProperties>
</file>